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Arquivos\Downloads\"/>
    </mc:Choice>
  </mc:AlternateContent>
  <xr:revisionPtr revIDLastSave="0" documentId="13_ncr:1_{9833B408-45A5-4B1A-BDA0-12550F9F5E5C}" xr6:coauthVersionLast="43" xr6:coauthVersionMax="47" xr10:uidLastSave="{00000000-0000-0000-0000-000000000000}"/>
  <bookViews>
    <workbookView xWindow="-120" yWindow="-120" windowWidth="51840" windowHeight="211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9" i="3" l="1"/>
  <c r="L19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<sst xmlns="http://schemas.openxmlformats.org/spreadsheetml/2006/main" count="2018" uniqueCount="320">
  <si>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</si>
  <si>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</si>
  <si>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</si>
  <si>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</si>
  <si>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</si>
  <si>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</si>
  <si>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</si>
  <si>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</si>
  <si>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</si>
  <si>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</si>
  <si>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</si>
  <si>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</si>
  <si>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</si>
  <si>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</si>
  <si>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</si>
  <si>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</si>
  <si>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</si>
  <si>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</si>
  <si>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</si>
  <si>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</si>
  <si>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</si>
  <si>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</si>
  <si>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</si>
  <si>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</si>
  <si>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</si>
  <si>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</si>
  <si>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</si>
  <si>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</si>
  <si>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</si>
  <si>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</si>
  <si>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</si>
  <si>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</si>
  <si>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</si>
  <si>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</si>
  <si>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</si>
  <si>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</si>
  <si>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</si>
  <si>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</si>
  <si>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</si>
  <si>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</si>
  <si>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</si>
  <si>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</si>
  <si>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</si>
  <si>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</si>
  <si>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</si>
  <si>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</si>
  <si>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</si>
  <si>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</si>
  <si>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</si>
  <si>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</si>
  <si>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</si>
  <si>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</si>
  <si>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</si>
  <si>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</si>
  <si>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</si>
  <si>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</si>
  <si>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</si>
  <si>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</si>
  <si>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</si>
  <si>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</si>
  <si>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</si>
  <si>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</si>
  <si>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</si>
  <si>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</si>
  <si>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</si>
  <si>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</si>
  <si>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</si>
  <si>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</si>
  <si>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</si>
  <si>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</si>
  <si>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</si>
  <si>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</si>
  <si>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</si>
  <si>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</si>
  <si>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</si>
  <si>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</si>
  <si>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</si>
  <si>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</si>
  <si>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</si>
  <si>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</si>
  <si>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</si>
  <si>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</si>
  <si>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</si>
  <si>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</si>
  <si>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</si>
  <si>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</si>
  <si>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</si>
  <si>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</si>
  <si>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</si>
  <si>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</si>
  <si>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</si>
  <si>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</si>
  <si>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</si>
  <si>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</si>
  <si>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</si>
  <si>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</si>
  <si>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</si>
  <si>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</si>
  <si>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</si>
  <si>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</si>
  <si>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</si>
  <si>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</si>
  <si>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</si>
  <si>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</si>
  <si>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</si>
  <si>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</si>
  <si>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</si>
  <si>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</si>
  <si>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</si>
  <si>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</si>
  <si>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</si>
  <si>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</si>
  <si>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</si>
  <si>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</si>
  <si>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</si>
  <si>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</si>
  <si>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</si>
  <si>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</si>
  <si>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</si>
  <si>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</si>
  <si>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</si>
  <si>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</si>
  <si>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</si>
  <si>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</si>
  <si>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</si>
  <si>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</si>
  <si>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</si>
  <si>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</si>
  <si>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</si>
  <si>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</si>
  <si>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</si>
  <si>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</si>
  <si>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</si>
  <si>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</si>
  <si>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</si>
  <si>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</si>
  <si>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</si>
  <si>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</si>
  <si>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</si>
  <si>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</si>
  <si>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</si>
  <si>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</si>
  <si>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</si>
  <si>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</si>
  <si>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</si>
  <si>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</si>
  <si>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</si>
  <si>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</si>
  <si>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</si>
  <si>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</si>
  <si>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</si>
  <si>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</si>
  <si>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</si>
  <si>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</si>
  <si>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</si>
  <si>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</si>
  <si>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</si>
  <si>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</si>
  <si>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</si>
  <si>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</si>
  <si>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</si>
  <si>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</si>
  <si>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</si>
  <si>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</si>
  <si>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</si>
  <si>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</si>
  <si>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</si>
  <si>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</si>
  <si>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</si>
  <si>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</si>
  <si>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</si>
  <si>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</si>
  <si>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</si>
  <si>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</si>
  <si>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</si>
  <si>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</si>
  <si>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</si>
  <si>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</si>
  <si>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</si>
  <si>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</si>
  <si>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</si>
  <si>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</si>
  <si>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</si>
  <si>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</si>
  <si>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</si>
  <si>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</si>
  <si>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</si>
  <si>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</si>
  <si>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</si>
  <si>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</si>
  <si>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</si>
  <si>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</si>
  <si>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</si>
  <si>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</si>
  <si>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</si>
  <si>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</si>
  <si>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</si>
  <si>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</si>
  <si>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</si>
  <si>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</si>
  <si>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</si>
  <si>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</si>
  <si>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</si>
  <si>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</si>
  <si>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</si>
  <si>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</si>
  <si>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</si>
  <si>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</si>
  <si>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</si>
  <si>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</si>
  <si>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</si>
  <si>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</si>
  <si>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</si>
  <si>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</si>
  <si>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</si>
  <si>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</si>
  <si>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</si>
  <si>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</si>
  <si>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</si>
  <si>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</si>
  <si>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</si>
  <si>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</si>
  <si>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</si>
  <si>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</si>
  <si>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</si>
  <si>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</si>
  <si>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</si>
  <si>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</si>
  <si>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</si>
  <si>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</si>
  <si>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</si>
  <si>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</si>
  <si>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</si>
  <si>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</si>
  <si>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</si>
  <si>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</si>
  <si>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</si>
  <si>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</si>
  <si>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</si>
  <si>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</si>
  <si>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</si>
  <si>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</si>
  <si>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</si>
  <si>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</si>
  <si>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</si>
  <si>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</si>
  <si>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</si>
  <si>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</si>
  <si>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</si>
  <si>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</si>
  <si>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</si>
  <si>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</si>
  <si>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</si>
  <si>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</si>
  <si>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</si>
  <si>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</si>
  <si>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</si>
  <si>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</si>
  <si>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</si>
  <si>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</si>
  <si>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</si>
  <si>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</si>
  <si>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</si>
  <si>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</si>
  <si>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</si>
  <si>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</si>
  <si>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</si>
  <si>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</si>
  <si>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</si>
  <si>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</si>
  <si>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</si>
  <si>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</si>
  <si>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</si>
  <si>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</si>
  <si>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</si>
  <si>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</si>
  <si>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</si>
  <si>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</si>
  <si>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</si>
  <si>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</si>
  <si>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</si>
  <si>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</si>
  <si>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</si>
  <si>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</si>
  <si>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</si>
  <si>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</si>
  <si>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</si>
  <si>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</si>
  <si>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</si>
  <si>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</si>
  <si>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</si>
  <si>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</si>
  <si>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</si>
  <si>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</si>
  <si>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</si>
  <si>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</si>
  <si>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</si>
  <si>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</si>
  <si>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</si>
  <si>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</si>
  <si>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</si>
  <si>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</si>
  <si>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</si>
  <si>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</si>
  <si>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</si>
  <si>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</si>
  <si>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</si>
  <si>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</si>
  <si>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</si>
  <si>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</si>
  <si>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</si>
  <si>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</si>
  <si>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</si>
  <si>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 </t>
  </si>
  <si>
    <t>Rótulos de Linha</t>
  </si>
  <si>
    <t>Total Geral</t>
  </si>
  <si>
    <t>Soma de Total Value</t>
  </si>
  <si>
    <t>XBOX GAMEPASS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</si>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</sst>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R$&quot;\ * #,##0.00_-;\-&quot;R$&quot;\ * #,##0.00_-;_-&quot;R$&quot;\ * &quot;-&quot;??_-;_-@_-"/>
    <numFmt numFmtId="165" formatCode="[$R$-416]\ #,##0.00"/>
    <numFmt numFmtId="166" formatCode="_-[$R$-416]\ * #,##0.00_-;\-[$R$-416]\ * #,##0.00_-;_-[$R$-416]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8" borderId="0" xfId="0" applyFill="1"/>
    <xf numFmtId="0" fontId="0" fillId="0" borderId="0" xfId="0" applyNumberFormat="1"/>
    <xf numFmtId="166" fontId="0" fillId="0" borderId="0" xfId="0" applyNumberFormat="1"/>
    <xf numFmtId="164" fontId="3" fillId="9" borderId="3" xfId="2" applyFont="1" applyFill="1" applyBorder="1"/>
    <xf numFmtId="0" fontId="0" fillId="0" borderId="2" xfId="0" applyBorder="1"/>
    <xf numFmtId="0" fontId="4" fillId="0" borderId="2" xfId="1" applyFont="1" applyFill="1" applyBorder="1" applyAlignment="1">
      <alignment horizontal="left" indent="6"/>
    </xf>
    <xf numFmtId="0" fontId="5" fillId="8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28">
    <dxf>
      <numFmt numFmtId="0" formatCode="General"/>
    </dxf>
    <dxf>
      <numFmt numFmtId="166" formatCode="_-[$R$-416]\ * #,##0.00_-;\-[$R$-416]\ * #,##0.00_-;_-[$R$-416]\ * &quot;-&quot;??_-;_-@_-"/>
    </dxf>
    <dxf>
      <numFmt numFmtId="0" formatCode="General"/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numFmt numFmtId="165" formatCode="[$R$-416]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3" tint="0.49998474074526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9" tint="-0.2499465926084170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SlicerStyleLight6 2" pivot="0" table="0" count="10" xr9:uid="{24D9186F-1FA9-4DD6-952E-B9A166FEA515}">
      <tableStyleElement type="wholeTable" dxfId="27"/>
      <tableStyleElement type="headerRow" dxfId="26"/>
    </tableStyle>
    <tableStyle name="SlicerStyleLight6 3" pivot="0" table="0" count="10" xr9:uid="{ED5B5324-CEA7-455A-9A2F-086B20080C4E}">
      <tableStyleElement type="wholeTable" dxfId="25"/>
      <tableStyleElement type="headerRow" dxfId="24"/>
    </tableStyle>
    <tableStyle name="SlicerStyleLight6 3 2" pivot="0" table="0" count="10" xr9:uid="{45096AE2-15B5-4785-B9AF-BADE75CFDD22}">
      <tableStyleElement type="wholeTable" dxfId="23"/>
      <tableStyleElement type="headerRow" dxfId="22"/>
    </tableStyle>
  </tableStyles>
  <colors>
    <mruColors>
      <color rgb="FF22C55E"/>
      <color rgb="FF2AE6B1"/>
      <color rgb="FFEDEDED"/>
      <color rgb="FFE8E6E9"/>
      <color rgb="FFE0E0E0"/>
      <color rgb="FF5BF6A8"/>
      <color rgb="FF000000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[base_games.xlsx]C̳álculos!tbl_annual_total</c:name>
    <c:fmtId val="2"/>
  </c:pivotSource>
  <c:chart>
    <c:autoTitleDeleted val="1"/>
    <c:pivotFmts>
      <c:pivotFmt>
        <c:idx val="0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4816285352888802E-2"/>
          <c:y val="9.4772960493876318E-2"/>
          <c:w val="0.78604207565966655"/>
          <c:h val="0.545632205530622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55-499A-B170-83D57914E4C8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55-499A-B170-83D57914E4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_-[$R$-416]\ * #,##0.00_-;\-[$R$-416]\ * #,##0.00_-;_-[$R$-416]\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55-499A-B170-83D57914E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8218927"/>
        <c:axId val="35185343"/>
      </c:barChart>
      <c:catAx>
        <c:axId val="218218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185343"/>
        <c:crosses val="autoZero"/>
        <c:auto val="1"/>
        <c:lblAlgn val="ctr"/>
        <c:lblOffset val="100"/>
        <c:noMultiLvlLbl val="0"/>
      </c:catAx>
      <c:valAx>
        <c:axId val="3518534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1821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chart" Target="../charts/chart1.xml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172626</xdr:colOff>
      <xdr:row>1</xdr:row>
      <xdr:rowOff>25003</xdr:rowOff>
    </xdr:from>
    <xdr:to>
      <xdr:col>2</xdr:col>
      <xdr:colOff>637212</xdr:colOff>
      <xdr:row>2</xdr:row>
      <xdr:rowOff>203597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309D6-0E67-49EF-8A2E-BDDFC399BA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8307" b="-12686"/>
        <a:stretch/>
      </xdr:blipFill>
      <xdr:spPr>
        <a:xfrm>
          <a:off x="2434814" y="310753"/>
          <a:ext cx="738429" cy="714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304800</xdr:rowOff>
    </xdr:from>
    <xdr:to>
      <xdr:col>0</xdr:col>
      <xdr:colOff>2250281</xdr:colOff>
      <xdr:row>20</xdr:row>
      <xdr:rowOff>71437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8A89C8B-CAD3-44D2-8ACF-074861A85E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71675"/>
              <a:ext cx="2250281" cy="2505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172700</xdr:colOff>
      <xdr:row>1</xdr:row>
      <xdr:rowOff>0</xdr:rowOff>
    </xdr:from>
    <xdr:to>
      <xdr:col>0</xdr:col>
      <xdr:colOff>944225</xdr:colOff>
      <xdr:row>2</xdr:row>
      <xdr:rowOff>175022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AB42A705-8117-4D0C-929C-6D08FD35DCA1}"/>
            </a:ext>
          </a:extLst>
        </xdr:cNvPr>
        <xdr:cNvSpPr/>
      </xdr:nvSpPr>
      <xdr:spPr>
        <a:xfrm>
          <a:off x="172700" y="285750"/>
          <a:ext cx="771525" cy="710803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</xdr:col>
      <xdr:colOff>0</xdr:colOff>
      <xdr:row>6</xdr:row>
      <xdr:rowOff>59531</xdr:rowOff>
    </xdr:from>
    <xdr:to>
      <xdr:col>6</xdr:col>
      <xdr:colOff>535781</xdr:colOff>
      <xdr:row>19</xdr:row>
      <xdr:rowOff>95250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12B1F4E6-E616-468F-AE7F-B32D61007F9D}"/>
            </a:ext>
          </a:extLst>
        </xdr:cNvPr>
        <xdr:cNvGrpSpPr/>
      </xdr:nvGrpSpPr>
      <xdr:grpSpPr>
        <a:xfrm>
          <a:off x="2536031" y="1726406"/>
          <a:ext cx="8060531" cy="2595563"/>
          <a:chOff x="2512218" y="1726406"/>
          <a:chExt cx="8060531" cy="2595563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285F47A-059F-4B0B-AFE2-888A4563A53C}"/>
              </a:ext>
            </a:extLst>
          </xdr:cNvPr>
          <xdr:cNvSpPr/>
        </xdr:nvSpPr>
        <xdr:spPr>
          <a:xfrm>
            <a:off x="2512218" y="1726406"/>
            <a:ext cx="7489032" cy="2333625"/>
          </a:xfrm>
          <a:prstGeom prst="roundRect">
            <a:avLst>
              <a:gd name="adj" fmla="val 799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L19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9598EE6D-79E4-4505-BCA0-AD48B8ADFE61}"/>
              </a:ext>
            </a:extLst>
          </xdr:cNvPr>
          <xdr:cNvSpPr/>
        </xdr:nvSpPr>
        <xdr:spPr>
          <a:xfrm>
            <a:off x="5500688" y="2526507"/>
            <a:ext cx="5072061" cy="1538286"/>
          </a:xfrm>
          <a:prstGeom prst="roundRect">
            <a:avLst>
              <a:gd name="adj" fmla="val 7993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32061A1-5E4E-4830-AC27-77406AD333A8}" type="TxLink">
              <a:rPr lang="en-US" sz="36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R$ 600.00 </a:t>
            </a:fld>
            <a:endParaRPr lang="en-US" sz="3600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785DA543-B395-4DD2-9AE7-4009581514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83719" y="2269331"/>
            <a:ext cx="2333624" cy="2052638"/>
          </a:xfrm>
          <a:prstGeom prst="rect">
            <a:avLst/>
          </a:prstGeom>
        </xdr:spPr>
      </xdr:pic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06CDEE0B-8B01-4754-B055-55C1D266B1BF}"/>
              </a:ext>
            </a:extLst>
          </xdr:cNvPr>
          <xdr:cNvSpPr/>
        </xdr:nvSpPr>
        <xdr:spPr>
          <a:xfrm>
            <a:off x="2512218" y="1726406"/>
            <a:ext cx="7500937" cy="762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</a:p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10</xdr:col>
      <xdr:colOff>404813</xdr:colOff>
      <xdr:row>6</xdr:row>
      <xdr:rowOff>59531</xdr:rowOff>
    </xdr:from>
    <xdr:to>
      <xdr:col>22</xdr:col>
      <xdr:colOff>559594</xdr:colOff>
      <xdr:row>18</xdr:row>
      <xdr:rowOff>16668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EF6D3B26-4E6A-4C5B-94C1-06D6A45589F6}"/>
            </a:ext>
          </a:extLst>
        </xdr:cNvPr>
        <xdr:cNvGrpSpPr/>
      </xdr:nvGrpSpPr>
      <xdr:grpSpPr>
        <a:xfrm>
          <a:off x="13227844" y="1726406"/>
          <a:ext cx="8060531" cy="2338387"/>
          <a:chOff x="13227844" y="1726406"/>
          <a:chExt cx="8060531" cy="2338387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A1EBB09B-0EA7-45A2-9229-A4D959CC3673}"/>
              </a:ext>
            </a:extLst>
          </xdr:cNvPr>
          <xdr:cNvSpPr/>
        </xdr:nvSpPr>
        <xdr:spPr>
          <a:xfrm>
            <a:off x="13227844" y="1726406"/>
            <a:ext cx="7489032" cy="2333625"/>
          </a:xfrm>
          <a:prstGeom prst="roundRect">
            <a:avLst>
              <a:gd name="adj" fmla="val 799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39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D98EF517-3E9C-4006-A014-F5B2B179E42F}"/>
              </a:ext>
            </a:extLst>
          </xdr:cNvPr>
          <xdr:cNvSpPr/>
        </xdr:nvSpPr>
        <xdr:spPr>
          <a:xfrm>
            <a:off x="16216314" y="2526507"/>
            <a:ext cx="5072061" cy="1538286"/>
          </a:xfrm>
          <a:prstGeom prst="roundRect">
            <a:avLst>
              <a:gd name="adj" fmla="val 7993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1D15FCE-5114-4646-9EB1-05AC840A8A02}" type="TxLink">
              <a:rPr lang="en-US" sz="36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R$ 940.00 </a:t>
            </a:fld>
            <a:endParaRPr lang="en-US" sz="3600">
              <a:solidFill>
                <a:srgbClr val="22C55E"/>
              </a:solidFill>
            </a:endParaRPr>
          </a:p>
        </xdr:txBody>
      </xdr: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3D93707C-97E8-43BE-88BD-CA384EFEA73D}"/>
              </a:ext>
            </a:extLst>
          </xdr:cNvPr>
          <xdr:cNvSpPr/>
        </xdr:nvSpPr>
        <xdr:spPr>
          <a:xfrm>
            <a:off x="13227844" y="1726406"/>
            <a:ext cx="7500937" cy="762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</a:p>
          <a:p>
            <a:pPr algn="l"/>
            <a:endParaRPr lang="pt-BR" sz="1100"/>
          </a:p>
        </xdr:txBody>
      </xdr: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EA866484-A320-4C91-93B6-6529F56EA28F}"/>
              </a:ext>
            </a:extLst>
          </xdr:cNvPr>
          <xdr:cNvGrpSpPr/>
        </xdr:nvGrpSpPr>
        <xdr:grpSpPr>
          <a:xfrm>
            <a:off x="13561219" y="2836069"/>
            <a:ext cx="1978817" cy="919162"/>
            <a:chOff x="3495675" y="5400674"/>
            <a:chExt cx="1549476" cy="752476"/>
          </a:xfrm>
        </xdr:grpSpPr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13028035-83EC-4D20-A3F3-808CB8E073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4" name="Gráfico 13">
              <a:extLst>
                <a:ext uri="{FF2B5EF4-FFF2-40B4-BE49-F238E27FC236}">
                  <a16:creationId xmlns:a16="http://schemas.microsoft.com/office/drawing/2014/main" id="{62783A59-1EDA-438D-BBAD-F356488D99F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0</xdr:colOff>
      <xdr:row>25</xdr:row>
      <xdr:rowOff>0</xdr:rowOff>
    </xdr:from>
    <xdr:to>
      <xdr:col>22</xdr:col>
      <xdr:colOff>57169</xdr:colOff>
      <xdr:row>55</xdr:row>
      <xdr:rowOff>150020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E9AFA21C-481F-49B7-851B-7312B70B12C4}"/>
            </a:ext>
          </a:extLst>
        </xdr:cNvPr>
        <xdr:cNvGrpSpPr/>
      </xdr:nvGrpSpPr>
      <xdr:grpSpPr>
        <a:xfrm>
          <a:off x="2536031" y="5298281"/>
          <a:ext cx="18249919" cy="5507833"/>
          <a:chOff x="2478862" y="5324475"/>
          <a:chExt cx="18809513" cy="5507833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0BEFA8AF-CAF7-43D4-9AF0-27504775192F}"/>
              </a:ext>
            </a:extLst>
          </xdr:cNvPr>
          <xdr:cNvGrpSpPr/>
        </xdr:nvGrpSpPr>
        <xdr:grpSpPr>
          <a:xfrm>
            <a:off x="2478862" y="5324475"/>
            <a:ext cx="18809513" cy="5507833"/>
            <a:chOff x="3990422" y="1956224"/>
            <a:chExt cx="6678017" cy="315411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5886EFB-FB6C-4FF4-856D-770CC849410C}"/>
                </a:ext>
              </a:extLst>
            </xdr:cNvPr>
            <xdr:cNvSpPr/>
          </xdr:nvSpPr>
          <xdr:spPr>
            <a:xfrm>
              <a:off x="3990422" y="1956224"/>
              <a:ext cx="6678017" cy="2667000"/>
            </a:xfrm>
            <a:prstGeom prst="roundRect">
              <a:avLst>
                <a:gd name="adj" fmla="val 629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4CA4C11-5089-4B0C-A205-5DFA08383DF7}"/>
                </a:ext>
              </a:extLst>
            </xdr:cNvPr>
            <xdr:cNvGraphicFramePr>
              <a:graphicFrameLocks/>
            </xdr:cNvGraphicFramePr>
          </xdr:nvGraphicFramePr>
          <xdr:xfrm>
            <a:off x="4244510" y="2319511"/>
            <a:ext cx="6319839" cy="27908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6422F21C-F8C6-4531-A469-D926EDDC13DB}"/>
              </a:ext>
            </a:extLst>
          </xdr:cNvPr>
          <xdr:cNvSpPr/>
        </xdr:nvSpPr>
        <xdr:spPr>
          <a:xfrm>
            <a:off x="2478863" y="5324475"/>
            <a:ext cx="18809512" cy="762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 PASS</a:t>
            </a:r>
          </a:p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0</xdr:col>
      <xdr:colOff>41732</xdr:colOff>
      <xdr:row>4</xdr:row>
      <xdr:rowOff>35719</xdr:rowOff>
    </xdr:from>
    <xdr:to>
      <xdr:col>0</xdr:col>
      <xdr:colOff>1660985</xdr:colOff>
      <xdr:row>6</xdr:row>
      <xdr:rowOff>95250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510F0E74-3806-4141-8ED5-BACED83C8F2E}"/>
            </a:ext>
          </a:extLst>
        </xdr:cNvPr>
        <xdr:cNvSpPr/>
      </xdr:nvSpPr>
      <xdr:spPr>
        <a:xfrm>
          <a:off x="41732" y="1404938"/>
          <a:ext cx="1619253" cy="357187"/>
        </a:xfrm>
        <a:prstGeom prst="rect">
          <a:avLst/>
        </a:prstGeom>
        <a:noFill/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/>
            <a:t>&gt;</a:t>
          </a:r>
          <a:r>
            <a:rPr lang="pt-BR" sz="1400" b="1"/>
            <a:t>Bem-vindo</a:t>
          </a:r>
          <a:r>
            <a:rPr lang="pt-BR" sz="1400"/>
            <a:t>,</a:t>
          </a:r>
          <a:r>
            <a:rPr lang="pt-BR" sz="1400" baseline="0"/>
            <a:t> </a:t>
          </a:r>
          <a:r>
            <a:rPr lang="pt-BR" sz="1400" b="1" baseline="0"/>
            <a:t>Paulo</a:t>
          </a:r>
          <a:endParaRPr lang="pt-BR" sz="1400" b="1"/>
        </a:p>
      </xdr:txBody>
    </xdr:sp>
    <xdr:clientData/>
  </xdr:twoCellAnchor>
  <xdr:twoCellAnchor editAs="absolute">
    <xdr:from>
      <xdr:col>1</xdr:col>
      <xdr:colOff>172626</xdr:colOff>
      <xdr:row>3</xdr:row>
      <xdr:rowOff>1</xdr:rowOff>
    </xdr:from>
    <xdr:to>
      <xdr:col>5</xdr:col>
      <xdr:colOff>0</xdr:colOff>
      <xdr:row>5</xdr:row>
      <xdr:rowOff>0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50D1F18E-C32C-4D05-905C-E967B88447A9}"/>
            </a:ext>
          </a:extLst>
        </xdr:cNvPr>
        <xdr:cNvSpPr/>
      </xdr:nvSpPr>
      <xdr:spPr>
        <a:xfrm>
          <a:off x="2434814" y="1190626"/>
          <a:ext cx="6935405" cy="357187"/>
        </a:xfrm>
        <a:prstGeom prst="rect">
          <a:avLst/>
        </a:prstGeom>
        <a:noFill/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</a:rPr>
            <a:t>Calculation period: 01/01/2024 - 12/31/2014 | Updated date: 12/25/2024 09:00 am</a:t>
          </a:r>
        </a:p>
        <a:p>
          <a:pPr algn="l"/>
          <a:endParaRPr lang="pt-BR" sz="1400" b="1" baseline="0">
            <a:solidFill>
              <a:schemeClr val="tx1"/>
            </a:solidFill>
          </a:endParaRPr>
        </a:p>
        <a:p>
          <a:pPr algn="l"/>
          <a:endParaRPr lang="pt-BR" sz="1400" b="1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" refreshedDate="46021.594547800923" createdVersion="6" refreshedVersion="6" minRefreshableVersion="3" recordCount="295" xr:uid="{CB7DFC5A-AE9C-47DA-8EA7-E83BDB030FF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Date="1" containsMixedTypes="1" minDate="2024-01-01T00:00:00" maxDate="2024-12-17T00:00:00" count="295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s v=" 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773916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s v="Yes"/>
    <x v="0"/>
    <s v="Yes"/>
    <n v="20"/>
    <n v="5"/>
    <n v="60"/>
  </r>
  <r>
    <n v="3232"/>
    <x v="1"/>
    <x v="1"/>
    <x v="1"/>
    <x v="1"/>
    <n v="5"/>
    <x v="1"/>
    <s v="No"/>
    <x v="1"/>
    <s v="No"/>
    <n v="0"/>
    <n v="0"/>
    <n v="5"/>
  </r>
  <r>
    <n v="3233"/>
    <x v="2"/>
    <x v="2"/>
    <x v="2"/>
    <x v="0"/>
    <n v="10"/>
    <x v="2"/>
    <s v="No"/>
    <x v="1"/>
    <s v="Yes"/>
    <n v="20"/>
    <n v="10"/>
    <n v="20"/>
  </r>
  <r>
    <n v="3234"/>
    <x v="3"/>
    <x v="0"/>
    <x v="3"/>
    <x v="1"/>
    <n v="15"/>
    <x v="0"/>
    <s v="Yes"/>
    <x v="0"/>
    <s v="Yes"/>
    <n v="20"/>
    <n v="3"/>
    <n v="62"/>
  </r>
  <r>
    <n v="3235"/>
    <x v="4"/>
    <x v="1"/>
    <x v="4"/>
    <x v="0"/>
    <n v="5"/>
    <x v="0"/>
    <s v="No"/>
    <x v="1"/>
    <s v="No"/>
    <n v="0"/>
    <n v="1"/>
    <n v="4"/>
  </r>
  <r>
    <n v="3236"/>
    <x v="5"/>
    <x v="2"/>
    <x v="5"/>
    <x v="1"/>
    <n v="10"/>
    <x v="0"/>
    <s v="No"/>
    <x v="1"/>
    <s v="Yes"/>
    <n v="20"/>
    <n v="2"/>
    <n v="28"/>
  </r>
  <r>
    <n v="3237"/>
    <x v="6"/>
    <x v="0"/>
    <x v="6"/>
    <x v="0"/>
    <n v="15"/>
    <x v="2"/>
    <s v="Yes"/>
    <x v="0"/>
    <s v="Yes"/>
    <n v="20"/>
    <n v="10"/>
    <n v="55"/>
  </r>
  <r>
    <n v="3238"/>
    <x v="7"/>
    <x v="1"/>
    <x v="7"/>
    <x v="0"/>
    <n v="5"/>
    <x v="1"/>
    <s v="No"/>
    <x v="1"/>
    <s v="No"/>
    <n v="0"/>
    <n v="0"/>
    <n v="5"/>
  </r>
  <r>
    <n v="3239"/>
    <x v="8"/>
    <x v="0"/>
    <x v="8"/>
    <x v="1"/>
    <n v="15"/>
    <x v="0"/>
    <s v="Yes"/>
    <x v="0"/>
    <s v="Yes"/>
    <n v="20"/>
    <n v="5"/>
    <n v="60"/>
  </r>
  <r>
    <n v="3240"/>
    <x v="9"/>
    <x v="2"/>
    <x v="9"/>
    <x v="0"/>
    <n v="10"/>
    <x v="2"/>
    <s v="No"/>
    <x v="1"/>
    <s v="Yes"/>
    <n v="20"/>
    <n v="15"/>
    <n v="15"/>
  </r>
  <r>
    <n v="3241"/>
    <x v="10"/>
    <x v="1"/>
    <x v="10"/>
    <x v="1"/>
    <n v="5"/>
    <x v="0"/>
    <s v="No"/>
    <x v="1"/>
    <s v="No"/>
    <n v="0"/>
    <n v="1"/>
    <n v="4"/>
  </r>
  <r>
    <n v="3242"/>
    <x v="11"/>
    <x v="0"/>
    <x v="11"/>
    <x v="0"/>
    <n v="15"/>
    <x v="1"/>
    <s v="Yes"/>
    <x v="0"/>
    <s v="Yes"/>
    <n v="20"/>
    <n v="20"/>
    <n v="45"/>
  </r>
  <r>
    <n v="3243"/>
    <x v="12"/>
    <x v="2"/>
    <x v="12"/>
    <x v="1"/>
    <n v="10"/>
    <x v="0"/>
    <s v="No"/>
    <x v="1"/>
    <s v="Yes"/>
    <n v="20"/>
    <n v="10"/>
    <n v="20"/>
  </r>
  <r>
    <n v="3244"/>
    <x v="13"/>
    <x v="1"/>
    <x v="13"/>
    <x v="0"/>
    <n v="5"/>
    <x v="2"/>
    <s v="No"/>
    <x v="1"/>
    <s v="No"/>
    <n v="0"/>
    <n v="0"/>
    <n v="5"/>
  </r>
  <r>
    <n v="3245"/>
    <x v="14"/>
    <x v="0"/>
    <x v="14"/>
    <x v="1"/>
    <n v="15"/>
    <x v="0"/>
    <s v="Yes"/>
    <x v="0"/>
    <s v="Yes"/>
    <n v="20"/>
    <n v="8"/>
    <n v="57"/>
  </r>
  <r>
    <n v="3246"/>
    <x v="15"/>
    <x v="2"/>
    <x v="15"/>
    <x v="0"/>
    <n v="10"/>
    <x v="1"/>
    <s v="No"/>
    <x v="1"/>
    <s v="Yes"/>
    <n v="20"/>
    <n v="12"/>
    <n v="18"/>
  </r>
  <r>
    <n v="3247"/>
    <x v="16"/>
    <x v="1"/>
    <x v="16"/>
    <x v="1"/>
    <n v="5"/>
    <x v="0"/>
    <s v="No"/>
    <x v="1"/>
    <s v="No"/>
    <n v="0"/>
    <n v="2"/>
    <n v="3"/>
  </r>
  <r>
    <n v="3248"/>
    <x v="17"/>
    <x v="0"/>
    <x v="17"/>
    <x v="0"/>
    <n v="15"/>
    <x v="2"/>
    <s v="Yes"/>
    <x v="0"/>
    <s v="Yes"/>
    <n v="20"/>
    <n v="7"/>
    <n v="58"/>
  </r>
  <r>
    <n v="3249"/>
    <x v="18"/>
    <x v="2"/>
    <x v="18"/>
    <x v="1"/>
    <n v="10"/>
    <x v="0"/>
    <s v="No"/>
    <x v="1"/>
    <s v="Yes"/>
    <n v="20"/>
    <n v="5"/>
    <n v="25"/>
  </r>
  <r>
    <n v="3250"/>
    <x v="19"/>
    <x v="1"/>
    <x v="19"/>
    <x v="0"/>
    <n v="5"/>
    <x v="1"/>
    <s v="No"/>
    <x v="1"/>
    <s v="No"/>
    <n v="0"/>
    <n v="0"/>
    <n v="5"/>
  </r>
  <r>
    <n v="3251"/>
    <x v="20"/>
    <x v="0"/>
    <x v="20"/>
    <x v="1"/>
    <n v="15"/>
    <x v="0"/>
    <s v="Yes"/>
    <x v="0"/>
    <s v="Yes"/>
    <n v="20"/>
    <n v="3"/>
    <n v="62"/>
  </r>
  <r>
    <n v="3252"/>
    <x v="21"/>
    <x v="2"/>
    <x v="21"/>
    <x v="0"/>
    <n v="10"/>
    <x v="2"/>
    <s v="No"/>
    <x v="1"/>
    <s v="Yes"/>
    <n v="20"/>
    <n v="15"/>
    <n v="15"/>
  </r>
  <r>
    <n v="3253"/>
    <x v="22"/>
    <x v="1"/>
    <x v="22"/>
    <x v="1"/>
    <n v="5"/>
    <x v="0"/>
    <s v="No"/>
    <x v="1"/>
    <s v="No"/>
    <n v="0"/>
    <n v="1"/>
    <n v="4"/>
  </r>
  <r>
    <n v="3254"/>
    <x v="23"/>
    <x v="0"/>
    <x v="23"/>
    <x v="0"/>
    <n v="15"/>
    <x v="1"/>
    <s v="Yes"/>
    <x v="0"/>
    <s v="Yes"/>
    <n v="20"/>
    <n v="20"/>
    <n v="45"/>
  </r>
  <r>
    <n v="3255"/>
    <x v="24"/>
    <x v="2"/>
    <x v="24"/>
    <x v="1"/>
    <n v="10"/>
    <x v="0"/>
    <s v="No"/>
    <x v="1"/>
    <s v="Yes"/>
    <n v="20"/>
    <n v="10"/>
    <n v="20"/>
  </r>
  <r>
    <n v="3256"/>
    <x v="25"/>
    <x v="1"/>
    <x v="25"/>
    <x v="0"/>
    <n v="5"/>
    <x v="2"/>
    <s v="No"/>
    <x v="1"/>
    <s v="No"/>
    <n v="0"/>
    <n v="0"/>
    <n v="5"/>
  </r>
  <r>
    <n v="3257"/>
    <x v="26"/>
    <x v="0"/>
    <x v="26"/>
    <x v="1"/>
    <n v="15"/>
    <x v="0"/>
    <s v="Yes"/>
    <x v="0"/>
    <s v="Yes"/>
    <n v="20"/>
    <n v="5"/>
    <n v="60"/>
  </r>
  <r>
    <n v="3258"/>
    <x v="27"/>
    <x v="2"/>
    <x v="27"/>
    <x v="0"/>
    <n v="10"/>
    <x v="1"/>
    <s v="No"/>
    <x v="1"/>
    <s v="Yes"/>
    <n v="20"/>
    <n v="15"/>
    <n v="15"/>
  </r>
  <r>
    <n v="3259"/>
    <x v="28"/>
    <x v="1"/>
    <x v="28"/>
    <x v="1"/>
    <n v="5"/>
    <x v="0"/>
    <s v="No"/>
    <x v="1"/>
    <s v="No"/>
    <n v="0"/>
    <n v="1"/>
    <n v="4"/>
  </r>
  <r>
    <n v="3260"/>
    <x v="29"/>
    <x v="0"/>
    <x v="29"/>
    <x v="0"/>
    <n v="15"/>
    <x v="2"/>
    <s v="Yes"/>
    <x v="0"/>
    <s v="Yes"/>
    <n v="20"/>
    <n v="7"/>
    <n v="58"/>
  </r>
  <r>
    <n v="3261"/>
    <x v="30"/>
    <x v="2"/>
    <x v="30"/>
    <x v="1"/>
    <n v="10"/>
    <x v="0"/>
    <s v="No"/>
    <x v="1"/>
    <s v="Yes"/>
    <n v="20"/>
    <n v="10"/>
    <n v="20"/>
  </r>
  <r>
    <n v="3262"/>
    <x v="31"/>
    <x v="1"/>
    <x v="31"/>
    <x v="0"/>
    <n v="5"/>
    <x v="1"/>
    <s v="No"/>
    <x v="1"/>
    <s v="No"/>
    <n v="0"/>
    <n v="0"/>
    <n v="5"/>
  </r>
  <r>
    <n v="3263"/>
    <x v="32"/>
    <x v="0"/>
    <x v="32"/>
    <x v="1"/>
    <n v="15"/>
    <x v="0"/>
    <s v="Yes"/>
    <x v="0"/>
    <s v="Yes"/>
    <n v="20"/>
    <n v="3"/>
    <n v="62"/>
  </r>
  <r>
    <n v="3264"/>
    <x v="33"/>
    <x v="2"/>
    <x v="33"/>
    <x v="0"/>
    <n v="10"/>
    <x v="2"/>
    <s v="No"/>
    <x v="1"/>
    <s v="Yes"/>
    <n v="20"/>
    <n v="15"/>
    <n v="15"/>
  </r>
  <r>
    <n v="3265"/>
    <x v="34"/>
    <x v="1"/>
    <x v="34"/>
    <x v="1"/>
    <n v="5"/>
    <x v="0"/>
    <s v="No"/>
    <x v="1"/>
    <s v="No"/>
    <n v="0"/>
    <n v="1"/>
    <n v="4"/>
  </r>
  <r>
    <n v="3266"/>
    <x v="35"/>
    <x v="1"/>
    <x v="35"/>
    <x v="0"/>
    <n v="5"/>
    <x v="0"/>
    <s v="No"/>
    <x v="1"/>
    <s v="No"/>
    <n v="0"/>
    <n v="0"/>
    <n v="5"/>
  </r>
  <r>
    <n v="3267"/>
    <x v="36"/>
    <x v="0"/>
    <x v="36"/>
    <x v="1"/>
    <n v="15"/>
    <x v="2"/>
    <s v="Yes"/>
    <x v="0"/>
    <s v="Yes"/>
    <n v="20"/>
    <n v="7"/>
    <n v="58"/>
  </r>
  <r>
    <n v="3268"/>
    <x v="37"/>
    <x v="2"/>
    <x v="37"/>
    <x v="0"/>
    <n v="10"/>
    <x v="1"/>
    <s v="No"/>
    <x v="1"/>
    <s v="Yes"/>
    <n v="20"/>
    <n v="10"/>
    <n v="20"/>
  </r>
  <r>
    <n v="3269"/>
    <x v="38"/>
    <x v="1"/>
    <x v="38"/>
    <x v="1"/>
    <n v="5"/>
    <x v="2"/>
    <s v="No"/>
    <x v="1"/>
    <s v="No"/>
    <n v="0"/>
    <n v="1"/>
    <n v="4"/>
  </r>
  <r>
    <n v="3270"/>
    <x v="39"/>
    <x v="0"/>
    <x v="39"/>
    <x v="0"/>
    <n v="15"/>
    <x v="0"/>
    <s v="Yes"/>
    <x v="0"/>
    <s v="Yes"/>
    <n v="20"/>
    <n v="15"/>
    <n v="50"/>
  </r>
  <r>
    <n v="3271"/>
    <x v="40"/>
    <x v="2"/>
    <x v="40"/>
    <x v="1"/>
    <n v="10"/>
    <x v="0"/>
    <s v="No"/>
    <x v="1"/>
    <s v="Yes"/>
    <n v="20"/>
    <n v="5"/>
    <n v="25"/>
  </r>
  <r>
    <n v="3272"/>
    <x v="41"/>
    <x v="1"/>
    <x v="41"/>
    <x v="0"/>
    <n v="5"/>
    <x v="1"/>
    <s v="No"/>
    <x v="1"/>
    <s v="No"/>
    <n v="0"/>
    <n v="0"/>
    <n v="5"/>
  </r>
  <r>
    <n v="3273"/>
    <x v="42"/>
    <x v="0"/>
    <x v="42"/>
    <x v="1"/>
    <n v="15"/>
    <x v="2"/>
    <s v="Yes"/>
    <x v="0"/>
    <s v="Yes"/>
    <n v="20"/>
    <n v="20"/>
    <n v="45"/>
  </r>
  <r>
    <n v="3274"/>
    <x v="43"/>
    <x v="2"/>
    <x v="43"/>
    <x v="0"/>
    <n v="10"/>
    <x v="2"/>
    <s v="No"/>
    <x v="1"/>
    <s v="Yes"/>
    <n v="20"/>
    <n v="12"/>
    <n v="18"/>
  </r>
  <r>
    <n v="3275"/>
    <x v="44"/>
    <x v="1"/>
    <x v="44"/>
    <x v="1"/>
    <n v="5"/>
    <x v="0"/>
    <s v="No"/>
    <x v="1"/>
    <s v="No"/>
    <n v="0"/>
    <n v="2"/>
    <n v="3"/>
  </r>
  <r>
    <n v="3276"/>
    <x v="45"/>
    <x v="0"/>
    <x v="45"/>
    <x v="0"/>
    <n v="15"/>
    <x v="1"/>
    <s v="Yes"/>
    <x v="0"/>
    <s v="Yes"/>
    <n v="20"/>
    <n v="5"/>
    <n v="60"/>
  </r>
  <r>
    <n v="3277"/>
    <x v="46"/>
    <x v="2"/>
    <x v="46"/>
    <x v="1"/>
    <n v="10"/>
    <x v="0"/>
    <s v="No"/>
    <x v="1"/>
    <s v="Yes"/>
    <n v="20"/>
    <n v="10"/>
    <n v="20"/>
  </r>
  <r>
    <n v="3278"/>
    <x v="47"/>
    <x v="1"/>
    <x v="47"/>
    <x v="0"/>
    <n v="5"/>
    <x v="2"/>
    <s v="No"/>
    <x v="1"/>
    <s v="No"/>
    <n v="0"/>
    <n v="0"/>
    <n v="5"/>
  </r>
  <r>
    <n v="3279"/>
    <x v="48"/>
    <x v="0"/>
    <x v="48"/>
    <x v="1"/>
    <n v="15"/>
    <x v="0"/>
    <s v="Yes"/>
    <x v="0"/>
    <s v="Yes"/>
    <n v="20"/>
    <n v="3"/>
    <n v="62"/>
  </r>
  <r>
    <n v="3280"/>
    <x v="49"/>
    <x v="2"/>
    <x v="49"/>
    <x v="0"/>
    <n v="10"/>
    <x v="1"/>
    <s v="No"/>
    <x v="1"/>
    <s v="Yes"/>
    <n v="20"/>
    <n v="15"/>
    <n v="15"/>
  </r>
  <r>
    <n v="3281"/>
    <x v="50"/>
    <x v="1"/>
    <x v="50"/>
    <x v="1"/>
    <n v="5"/>
    <x v="0"/>
    <s v="No"/>
    <x v="1"/>
    <s v="No"/>
    <n v="0"/>
    <n v="1"/>
    <n v="4"/>
  </r>
  <r>
    <n v="3282"/>
    <x v="51"/>
    <x v="0"/>
    <x v="51"/>
    <x v="0"/>
    <n v="15"/>
    <x v="2"/>
    <s v="Yes"/>
    <x v="0"/>
    <s v="Yes"/>
    <n v="20"/>
    <n v="7"/>
    <n v="58"/>
  </r>
  <r>
    <n v="3283"/>
    <x v="52"/>
    <x v="2"/>
    <x v="52"/>
    <x v="1"/>
    <n v="10"/>
    <x v="0"/>
    <s v="No"/>
    <x v="1"/>
    <s v="Yes"/>
    <n v="20"/>
    <n v="10"/>
    <n v="20"/>
  </r>
  <r>
    <n v="3284"/>
    <x v="53"/>
    <x v="1"/>
    <x v="53"/>
    <x v="0"/>
    <n v="5"/>
    <x v="1"/>
    <s v="No"/>
    <x v="1"/>
    <s v="No"/>
    <n v="0"/>
    <n v="0"/>
    <n v="5"/>
  </r>
  <r>
    <n v="3285"/>
    <x v="54"/>
    <x v="0"/>
    <x v="54"/>
    <x v="1"/>
    <n v="15"/>
    <x v="0"/>
    <s v="Yes"/>
    <x v="0"/>
    <s v="Yes"/>
    <n v="20"/>
    <n v="20"/>
    <n v="45"/>
  </r>
  <r>
    <n v="3286"/>
    <x v="55"/>
    <x v="2"/>
    <x v="55"/>
    <x v="0"/>
    <n v="10"/>
    <x v="2"/>
    <s v="No"/>
    <x v="1"/>
    <s v="Yes"/>
    <n v="20"/>
    <n v="15"/>
    <n v="15"/>
  </r>
  <r>
    <n v="3287"/>
    <x v="56"/>
    <x v="1"/>
    <x v="56"/>
    <x v="1"/>
    <n v="5"/>
    <x v="0"/>
    <s v="No"/>
    <x v="1"/>
    <s v="No"/>
    <n v="0"/>
    <n v="1"/>
    <n v="4"/>
  </r>
  <r>
    <n v="3288"/>
    <x v="57"/>
    <x v="0"/>
    <x v="57"/>
    <x v="0"/>
    <n v="15"/>
    <x v="1"/>
    <s v="Yes"/>
    <x v="0"/>
    <s v="Yes"/>
    <n v="20"/>
    <n v="3"/>
    <n v="62"/>
  </r>
  <r>
    <n v="3289"/>
    <x v="58"/>
    <x v="2"/>
    <x v="58"/>
    <x v="1"/>
    <n v="10"/>
    <x v="0"/>
    <s v="No"/>
    <x v="1"/>
    <s v="Yes"/>
    <n v="20"/>
    <n v="10"/>
    <n v="20"/>
  </r>
  <r>
    <n v="3290"/>
    <x v="59"/>
    <x v="1"/>
    <x v="59"/>
    <x v="0"/>
    <n v="5"/>
    <x v="2"/>
    <s v="No"/>
    <x v="1"/>
    <s v="No"/>
    <n v="0"/>
    <n v="0"/>
    <n v="5"/>
  </r>
  <r>
    <n v="3291"/>
    <x v="60"/>
    <x v="0"/>
    <x v="60"/>
    <x v="1"/>
    <n v="15"/>
    <x v="0"/>
    <s v="Yes"/>
    <x v="0"/>
    <s v="Yes"/>
    <n v="20"/>
    <n v="5"/>
    <n v="60"/>
  </r>
  <r>
    <n v="3292"/>
    <x v="61"/>
    <x v="2"/>
    <x v="61"/>
    <x v="0"/>
    <n v="10"/>
    <x v="1"/>
    <s v="No"/>
    <x v="1"/>
    <s v="Yes"/>
    <n v="20"/>
    <n v="15"/>
    <n v="15"/>
  </r>
  <r>
    <n v="3293"/>
    <x v="62"/>
    <x v="1"/>
    <x v="62"/>
    <x v="1"/>
    <n v="5"/>
    <x v="0"/>
    <s v="No"/>
    <x v="1"/>
    <s v="No"/>
    <n v="0"/>
    <n v="1"/>
    <n v="4"/>
  </r>
  <r>
    <n v="3294"/>
    <x v="63"/>
    <x v="0"/>
    <x v="63"/>
    <x v="0"/>
    <n v="15"/>
    <x v="2"/>
    <s v="Yes"/>
    <x v="0"/>
    <s v="Yes"/>
    <n v="20"/>
    <n v="20"/>
    <n v="45"/>
  </r>
  <r>
    <n v="3295"/>
    <x v="64"/>
    <x v="2"/>
    <x v="64"/>
    <x v="1"/>
    <n v="10"/>
    <x v="0"/>
    <s v="No"/>
    <x v="1"/>
    <s v="Yes"/>
    <n v="20"/>
    <n v="5"/>
    <n v="25"/>
  </r>
  <r>
    <n v="3296"/>
    <x v="65"/>
    <x v="1"/>
    <x v="65"/>
    <x v="1"/>
    <n v="5"/>
    <x v="0"/>
    <s v="No"/>
    <x v="1"/>
    <s v="No"/>
    <n v="0"/>
    <n v="0"/>
    <n v="5"/>
  </r>
  <r>
    <n v="3297"/>
    <x v="66"/>
    <x v="0"/>
    <x v="66"/>
    <x v="0"/>
    <n v="15"/>
    <x v="2"/>
    <s v="Yes"/>
    <x v="0"/>
    <s v="Yes"/>
    <n v="20"/>
    <n v="7"/>
    <n v="58"/>
  </r>
  <r>
    <n v="3298"/>
    <x v="67"/>
    <x v="2"/>
    <x v="67"/>
    <x v="1"/>
    <n v="10"/>
    <x v="1"/>
    <s v="No"/>
    <x v="1"/>
    <s v="Yes"/>
    <n v="20"/>
    <n v="10"/>
    <n v="20"/>
  </r>
  <r>
    <n v="3299"/>
    <x v="68"/>
    <x v="1"/>
    <x v="68"/>
    <x v="0"/>
    <n v="5"/>
    <x v="2"/>
    <s v="No"/>
    <x v="1"/>
    <s v="No"/>
    <n v="0"/>
    <n v="1"/>
    <n v="4"/>
  </r>
  <r>
    <n v="3300"/>
    <x v="69"/>
    <x v="0"/>
    <x v="69"/>
    <x v="1"/>
    <n v="15"/>
    <x v="0"/>
    <s v="Yes"/>
    <x v="0"/>
    <s v="Yes"/>
    <n v="20"/>
    <n v="15"/>
    <n v="50"/>
  </r>
  <r>
    <n v="3301"/>
    <x v="70"/>
    <x v="2"/>
    <x v="70"/>
    <x v="0"/>
    <n v="10"/>
    <x v="0"/>
    <s v="No"/>
    <x v="1"/>
    <s v="Yes"/>
    <n v="20"/>
    <n v="5"/>
    <n v="25"/>
  </r>
  <r>
    <n v="3302"/>
    <x v="71"/>
    <x v="1"/>
    <x v="71"/>
    <x v="1"/>
    <n v="5"/>
    <x v="1"/>
    <s v="No"/>
    <x v="1"/>
    <s v="No"/>
    <n v="0"/>
    <n v="0"/>
    <n v="5"/>
  </r>
  <r>
    <n v="3303"/>
    <x v="72"/>
    <x v="0"/>
    <x v="72"/>
    <x v="0"/>
    <n v="15"/>
    <x v="2"/>
    <s v="Yes"/>
    <x v="0"/>
    <s v="Yes"/>
    <n v="20"/>
    <n v="20"/>
    <n v="45"/>
  </r>
  <r>
    <n v="3304"/>
    <x v="73"/>
    <x v="2"/>
    <x v="73"/>
    <x v="1"/>
    <n v="10"/>
    <x v="2"/>
    <s v="No"/>
    <x v="1"/>
    <s v="Yes"/>
    <n v="20"/>
    <n v="12"/>
    <n v="18"/>
  </r>
  <r>
    <n v="3305"/>
    <x v="74"/>
    <x v="1"/>
    <x v="74"/>
    <x v="0"/>
    <n v="5"/>
    <x v="0"/>
    <s v="No"/>
    <x v="1"/>
    <s v="No"/>
    <n v="0"/>
    <n v="2"/>
    <n v="3"/>
  </r>
  <r>
    <n v="3306"/>
    <x v="75"/>
    <x v="0"/>
    <x v="75"/>
    <x v="1"/>
    <n v="15"/>
    <x v="1"/>
    <s v="Yes"/>
    <x v="0"/>
    <s v="Yes"/>
    <n v="20"/>
    <n v="5"/>
    <n v="60"/>
  </r>
  <r>
    <n v="3307"/>
    <x v="76"/>
    <x v="2"/>
    <x v="76"/>
    <x v="0"/>
    <n v="10"/>
    <x v="0"/>
    <s v="No"/>
    <x v="1"/>
    <s v="Yes"/>
    <n v="20"/>
    <n v="10"/>
    <n v="20"/>
  </r>
  <r>
    <n v="3308"/>
    <x v="77"/>
    <x v="1"/>
    <x v="77"/>
    <x v="1"/>
    <n v="5"/>
    <x v="2"/>
    <s v="No"/>
    <x v="1"/>
    <s v="No"/>
    <n v="0"/>
    <n v="0"/>
    <n v="5"/>
  </r>
  <r>
    <n v="3309"/>
    <x v="78"/>
    <x v="0"/>
    <x v="78"/>
    <x v="0"/>
    <n v="15"/>
    <x v="0"/>
    <s v="Yes"/>
    <x v="0"/>
    <s v="Yes"/>
    <n v="20"/>
    <n v="3"/>
    <n v="62"/>
  </r>
  <r>
    <n v="3310"/>
    <x v="79"/>
    <x v="2"/>
    <x v="79"/>
    <x v="1"/>
    <n v="10"/>
    <x v="1"/>
    <s v="No"/>
    <x v="1"/>
    <s v="Yes"/>
    <n v="20"/>
    <n v="15"/>
    <n v="15"/>
  </r>
  <r>
    <n v="3311"/>
    <x v="80"/>
    <x v="1"/>
    <x v="80"/>
    <x v="0"/>
    <n v="5"/>
    <x v="0"/>
    <s v="No"/>
    <x v="1"/>
    <s v="No"/>
    <n v="0"/>
    <n v="1"/>
    <n v="4"/>
  </r>
  <r>
    <n v="3312"/>
    <x v="81"/>
    <x v="0"/>
    <x v="81"/>
    <x v="1"/>
    <n v="15"/>
    <x v="2"/>
    <s v="Yes"/>
    <x v="0"/>
    <s v="Yes"/>
    <n v="20"/>
    <n v="7"/>
    <n v="58"/>
  </r>
  <r>
    <n v="3313"/>
    <x v="82"/>
    <x v="2"/>
    <x v="82"/>
    <x v="0"/>
    <n v="10"/>
    <x v="0"/>
    <s v="No"/>
    <x v="1"/>
    <s v="Yes"/>
    <n v="20"/>
    <n v="10"/>
    <n v="20"/>
  </r>
  <r>
    <n v="3314"/>
    <x v="83"/>
    <x v="1"/>
    <x v="83"/>
    <x v="1"/>
    <n v="5"/>
    <x v="1"/>
    <s v="No"/>
    <x v="1"/>
    <s v="No"/>
    <n v="0"/>
    <n v="0"/>
    <n v="5"/>
  </r>
  <r>
    <n v="3315"/>
    <x v="84"/>
    <x v="0"/>
    <x v="84"/>
    <x v="0"/>
    <n v="15"/>
    <x v="0"/>
    <s v="Yes"/>
    <x v="0"/>
    <s v="Yes"/>
    <n v="20"/>
    <n v="20"/>
    <n v="45"/>
  </r>
  <r>
    <n v="3316"/>
    <x v="85"/>
    <x v="2"/>
    <x v="85"/>
    <x v="1"/>
    <n v="10"/>
    <x v="2"/>
    <s v="No"/>
    <x v="1"/>
    <s v="Yes"/>
    <n v="20"/>
    <n v="15"/>
    <n v="15"/>
  </r>
  <r>
    <n v="3317"/>
    <x v="86"/>
    <x v="1"/>
    <x v="86"/>
    <x v="0"/>
    <n v="5"/>
    <x v="0"/>
    <s v="No"/>
    <x v="1"/>
    <s v="No"/>
    <n v="0"/>
    <n v="1"/>
    <n v="4"/>
  </r>
  <r>
    <n v="3318"/>
    <x v="87"/>
    <x v="0"/>
    <x v="87"/>
    <x v="1"/>
    <n v="15"/>
    <x v="1"/>
    <s v="Yes"/>
    <x v="0"/>
    <s v="Yes"/>
    <n v="20"/>
    <n v="3"/>
    <n v="62"/>
  </r>
  <r>
    <n v="3319"/>
    <x v="88"/>
    <x v="2"/>
    <x v="88"/>
    <x v="0"/>
    <n v="10"/>
    <x v="0"/>
    <s v="No"/>
    <x v="1"/>
    <s v="Yes"/>
    <n v="20"/>
    <n v="10"/>
    <n v="20"/>
  </r>
  <r>
    <n v="3320"/>
    <x v="89"/>
    <x v="1"/>
    <x v="89"/>
    <x v="1"/>
    <n v="5"/>
    <x v="2"/>
    <s v="No"/>
    <x v="1"/>
    <s v="No"/>
    <n v="0"/>
    <n v="0"/>
    <n v="5"/>
  </r>
  <r>
    <n v="3321"/>
    <x v="90"/>
    <x v="0"/>
    <x v="90"/>
    <x v="0"/>
    <n v="15"/>
    <x v="0"/>
    <s v="Yes"/>
    <x v="0"/>
    <s v="Yes"/>
    <n v="20"/>
    <n v="5"/>
    <n v="60"/>
  </r>
  <r>
    <n v="3322"/>
    <x v="91"/>
    <x v="2"/>
    <x v="91"/>
    <x v="1"/>
    <n v="10"/>
    <x v="1"/>
    <s v="No"/>
    <x v="1"/>
    <s v="Yes"/>
    <n v="20"/>
    <n v="15"/>
    <n v="15"/>
  </r>
  <r>
    <n v="3323"/>
    <x v="92"/>
    <x v="1"/>
    <x v="92"/>
    <x v="0"/>
    <n v="5"/>
    <x v="0"/>
    <s v="No"/>
    <x v="1"/>
    <s v="No"/>
    <n v="0"/>
    <n v="1"/>
    <n v="4"/>
  </r>
  <r>
    <n v="3324"/>
    <x v="93"/>
    <x v="0"/>
    <x v="93"/>
    <x v="1"/>
    <n v="15"/>
    <x v="2"/>
    <s v="Yes"/>
    <x v="0"/>
    <s v="Yes"/>
    <n v="20"/>
    <n v="20"/>
    <n v="45"/>
  </r>
  <r>
    <n v="3325"/>
    <x v="94"/>
    <x v="2"/>
    <x v="94"/>
    <x v="0"/>
    <n v="10"/>
    <x v="2"/>
    <s v="No"/>
    <x v="1"/>
    <s v="Yes"/>
    <n v="20"/>
    <n v="15"/>
    <n v="15"/>
  </r>
  <r>
    <n v="3326"/>
    <x v="95"/>
    <x v="1"/>
    <x v="95"/>
    <x v="1"/>
    <n v="5"/>
    <x v="1"/>
    <s v="No"/>
    <x v="1"/>
    <s v="No"/>
    <n v="0"/>
    <n v="0"/>
    <n v="5"/>
  </r>
  <r>
    <n v="3327"/>
    <x v="96"/>
    <x v="0"/>
    <x v="96"/>
    <x v="0"/>
    <n v="15"/>
    <x v="0"/>
    <s v="Yes"/>
    <x v="0"/>
    <s v="Yes"/>
    <n v="20"/>
    <n v="7"/>
    <n v="58"/>
  </r>
  <r>
    <n v="3328"/>
    <x v="97"/>
    <x v="2"/>
    <x v="97"/>
    <x v="1"/>
    <n v="10"/>
    <x v="1"/>
    <s v="No"/>
    <x v="1"/>
    <s v="Yes"/>
    <n v="20"/>
    <n v="10"/>
    <n v="20"/>
  </r>
  <r>
    <n v="3329"/>
    <x v="98"/>
    <x v="1"/>
    <x v="98"/>
    <x v="0"/>
    <n v="5"/>
    <x v="2"/>
    <s v="No"/>
    <x v="1"/>
    <s v="No"/>
    <n v="0"/>
    <n v="1"/>
    <n v="4"/>
  </r>
  <r>
    <n v="3330"/>
    <x v="99"/>
    <x v="0"/>
    <x v="99"/>
    <x v="1"/>
    <n v="15"/>
    <x v="0"/>
    <s v="Yes"/>
    <x v="0"/>
    <s v="Yes"/>
    <n v="20"/>
    <n v="15"/>
    <n v="50"/>
  </r>
  <r>
    <n v="3331"/>
    <x v="100"/>
    <x v="2"/>
    <x v="100"/>
    <x v="0"/>
    <n v="10"/>
    <x v="0"/>
    <s v="No"/>
    <x v="1"/>
    <s v="Yes"/>
    <n v="20"/>
    <n v="5"/>
    <n v="25"/>
  </r>
  <r>
    <n v="3332"/>
    <x v="101"/>
    <x v="1"/>
    <x v="101"/>
    <x v="1"/>
    <n v="5"/>
    <x v="1"/>
    <s v="No"/>
    <x v="1"/>
    <s v="No"/>
    <n v="0"/>
    <n v="0"/>
    <n v="5"/>
  </r>
  <r>
    <n v="3333"/>
    <x v="102"/>
    <x v="0"/>
    <x v="102"/>
    <x v="0"/>
    <n v="15"/>
    <x v="2"/>
    <s v="Yes"/>
    <x v="0"/>
    <s v="Yes"/>
    <n v="20"/>
    <n v="20"/>
    <n v="45"/>
  </r>
  <r>
    <n v="3334"/>
    <x v="103"/>
    <x v="2"/>
    <x v="103"/>
    <x v="1"/>
    <n v="10"/>
    <x v="2"/>
    <s v="No"/>
    <x v="1"/>
    <s v="Yes"/>
    <n v="20"/>
    <n v="12"/>
    <n v="18"/>
  </r>
  <r>
    <n v="3335"/>
    <x v="104"/>
    <x v="1"/>
    <x v="104"/>
    <x v="0"/>
    <n v="5"/>
    <x v="0"/>
    <s v="No"/>
    <x v="1"/>
    <s v="No"/>
    <n v="0"/>
    <n v="2"/>
    <n v="3"/>
  </r>
  <r>
    <n v="3336"/>
    <x v="105"/>
    <x v="1"/>
    <x v="105"/>
    <x v="0"/>
    <n v="5"/>
    <x v="0"/>
    <s v="No"/>
    <x v="1"/>
    <s v="No"/>
    <n v="0"/>
    <n v="0"/>
    <n v="5"/>
  </r>
  <r>
    <n v="3337"/>
    <x v="106"/>
    <x v="0"/>
    <x v="106"/>
    <x v="1"/>
    <n v="15"/>
    <x v="2"/>
    <s v="Yes"/>
    <x v="0"/>
    <s v="Yes"/>
    <n v="20"/>
    <n v="7"/>
    <n v="58"/>
  </r>
  <r>
    <n v="3338"/>
    <x v="107"/>
    <x v="2"/>
    <x v="107"/>
    <x v="0"/>
    <n v="10"/>
    <x v="1"/>
    <s v="No"/>
    <x v="1"/>
    <s v="Yes"/>
    <n v="20"/>
    <n v="10"/>
    <n v="20"/>
  </r>
  <r>
    <n v="3339"/>
    <x v="108"/>
    <x v="1"/>
    <x v="108"/>
    <x v="1"/>
    <n v="5"/>
    <x v="2"/>
    <s v="No"/>
    <x v="1"/>
    <s v="No"/>
    <n v="0"/>
    <n v="1"/>
    <n v="4"/>
  </r>
  <r>
    <n v="3340"/>
    <x v="109"/>
    <x v="0"/>
    <x v="109"/>
    <x v="0"/>
    <n v="15"/>
    <x v="0"/>
    <s v="Yes"/>
    <x v="0"/>
    <s v="Yes"/>
    <n v="20"/>
    <n v="15"/>
    <n v="50"/>
  </r>
  <r>
    <n v="3341"/>
    <x v="110"/>
    <x v="2"/>
    <x v="110"/>
    <x v="1"/>
    <n v="10"/>
    <x v="0"/>
    <s v="No"/>
    <x v="1"/>
    <s v="Yes"/>
    <n v="20"/>
    <n v="5"/>
    <n v="25"/>
  </r>
  <r>
    <n v="3342"/>
    <x v="111"/>
    <x v="1"/>
    <x v="111"/>
    <x v="0"/>
    <n v="5"/>
    <x v="1"/>
    <s v="No"/>
    <x v="1"/>
    <s v="No"/>
    <n v="0"/>
    <n v="0"/>
    <n v="5"/>
  </r>
  <r>
    <n v="3343"/>
    <x v="112"/>
    <x v="0"/>
    <x v="112"/>
    <x v="1"/>
    <n v="15"/>
    <x v="2"/>
    <s v="Yes"/>
    <x v="0"/>
    <s v="Yes"/>
    <n v="20"/>
    <n v="20"/>
    <n v="45"/>
  </r>
  <r>
    <n v="3344"/>
    <x v="113"/>
    <x v="2"/>
    <x v="113"/>
    <x v="0"/>
    <n v="10"/>
    <x v="2"/>
    <s v="No"/>
    <x v="1"/>
    <s v="Yes"/>
    <n v="20"/>
    <n v="12"/>
    <n v="18"/>
  </r>
  <r>
    <n v="3345"/>
    <x v="114"/>
    <x v="1"/>
    <x v="114"/>
    <x v="1"/>
    <n v="5"/>
    <x v="0"/>
    <s v="No"/>
    <x v="1"/>
    <s v="No"/>
    <n v="0"/>
    <n v="2"/>
    <n v="3"/>
  </r>
  <r>
    <n v="3346"/>
    <x v="115"/>
    <x v="0"/>
    <x v="115"/>
    <x v="0"/>
    <n v="15"/>
    <x v="1"/>
    <s v="Yes"/>
    <x v="0"/>
    <s v="Yes"/>
    <n v="20"/>
    <n v="5"/>
    <n v="60"/>
  </r>
  <r>
    <n v="3347"/>
    <x v="116"/>
    <x v="2"/>
    <x v="116"/>
    <x v="1"/>
    <n v="10"/>
    <x v="0"/>
    <s v="No"/>
    <x v="1"/>
    <s v="Yes"/>
    <n v="20"/>
    <n v="10"/>
    <n v="20"/>
  </r>
  <r>
    <n v="3348"/>
    <x v="117"/>
    <x v="1"/>
    <x v="117"/>
    <x v="0"/>
    <n v="5"/>
    <x v="2"/>
    <s v="No"/>
    <x v="1"/>
    <s v="No"/>
    <n v="0"/>
    <n v="0"/>
    <n v="5"/>
  </r>
  <r>
    <n v="3349"/>
    <x v="93"/>
    <x v="0"/>
    <x v="118"/>
    <x v="1"/>
    <n v="15"/>
    <x v="0"/>
    <s v="Yes"/>
    <x v="0"/>
    <s v="Yes"/>
    <n v="20"/>
    <n v="3"/>
    <n v="62"/>
  </r>
  <r>
    <n v="3350"/>
    <x v="118"/>
    <x v="2"/>
    <x v="119"/>
    <x v="0"/>
    <n v="10"/>
    <x v="1"/>
    <s v="No"/>
    <x v="1"/>
    <s v="Yes"/>
    <n v="20"/>
    <n v="15"/>
    <n v="15"/>
  </r>
  <r>
    <n v="3351"/>
    <x v="119"/>
    <x v="1"/>
    <x v="120"/>
    <x v="1"/>
    <n v="5"/>
    <x v="0"/>
    <s v="No"/>
    <x v="1"/>
    <s v="No"/>
    <n v="0"/>
    <n v="1"/>
    <n v="4"/>
  </r>
  <r>
    <n v="3352"/>
    <x v="120"/>
    <x v="0"/>
    <x v="121"/>
    <x v="0"/>
    <n v="15"/>
    <x v="2"/>
    <s v="Yes"/>
    <x v="0"/>
    <s v="Yes"/>
    <n v="20"/>
    <n v="7"/>
    <n v="58"/>
  </r>
  <r>
    <n v="3353"/>
    <x v="121"/>
    <x v="2"/>
    <x v="122"/>
    <x v="1"/>
    <n v="10"/>
    <x v="0"/>
    <s v="No"/>
    <x v="1"/>
    <s v="Yes"/>
    <n v="20"/>
    <n v="10"/>
    <n v="20"/>
  </r>
  <r>
    <n v="3354"/>
    <x v="122"/>
    <x v="1"/>
    <x v="123"/>
    <x v="0"/>
    <n v="5"/>
    <x v="1"/>
    <s v="No"/>
    <x v="1"/>
    <s v="No"/>
    <n v="0"/>
    <n v="0"/>
    <n v="5"/>
  </r>
  <r>
    <n v="3355"/>
    <x v="123"/>
    <x v="0"/>
    <x v="124"/>
    <x v="1"/>
    <n v="15"/>
    <x v="0"/>
    <s v="Yes"/>
    <x v="0"/>
    <s v="Yes"/>
    <n v="20"/>
    <n v="20"/>
    <n v="45"/>
  </r>
  <r>
    <n v="3356"/>
    <x v="124"/>
    <x v="2"/>
    <x v="125"/>
    <x v="0"/>
    <n v="10"/>
    <x v="2"/>
    <s v="No"/>
    <x v="1"/>
    <s v="Yes"/>
    <n v="20"/>
    <n v="15"/>
    <n v="15"/>
  </r>
  <r>
    <n v="3357"/>
    <x v="125"/>
    <x v="1"/>
    <x v="126"/>
    <x v="1"/>
    <n v="5"/>
    <x v="0"/>
    <s v="No"/>
    <x v="1"/>
    <s v="No"/>
    <n v="0"/>
    <n v="1"/>
    <n v="4"/>
  </r>
  <r>
    <n v="3358"/>
    <x v="126"/>
    <x v="0"/>
    <x v="127"/>
    <x v="0"/>
    <n v="15"/>
    <x v="1"/>
    <s v="Yes"/>
    <x v="0"/>
    <s v="Yes"/>
    <n v="20"/>
    <n v="3"/>
    <n v="62"/>
  </r>
  <r>
    <n v="3359"/>
    <x v="127"/>
    <x v="2"/>
    <x v="128"/>
    <x v="1"/>
    <n v="10"/>
    <x v="0"/>
    <s v="No"/>
    <x v="1"/>
    <s v="Yes"/>
    <n v="20"/>
    <n v="10"/>
    <n v="20"/>
  </r>
  <r>
    <n v="3360"/>
    <x v="128"/>
    <x v="1"/>
    <x v="129"/>
    <x v="0"/>
    <n v="5"/>
    <x v="2"/>
    <s v="No"/>
    <x v="1"/>
    <s v="No"/>
    <n v="0"/>
    <n v="0"/>
    <n v="5"/>
  </r>
  <r>
    <n v="3361"/>
    <x v="129"/>
    <x v="0"/>
    <x v="130"/>
    <x v="1"/>
    <n v="15"/>
    <x v="0"/>
    <s v="Yes"/>
    <x v="0"/>
    <s v="Yes"/>
    <n v="20"/>
    <n v="15"/>
    <n v="50"/>
  </r>
  <r>
    <n v="3362"/>
    <x v="130"/>
    <x v="2"/>
    <x v="131"/>
    <x v="0"/>
    <n v="10"/>
    <x v="1"/>
    <s v="No"/>
    <x v="1"/>
    <s v="Yes"/>
    <n v="20"/>
    <n v="15"/>
    <n v="15"/>
  </r>
  <r>
    <n v="3363"/>
    <x v="131"/>
    <x v="1"/>
    <x v="132"/>
    <x v="1"/>
    <n v="5"/>
    <x v="0"/>
    <s v="No"/>
    <x v="1"/>
    <s v="No"/>
    <n v="0"/>
    <n v="1"/>
    <n v="4"/>
  </r>
  <r>
    <n v="3364"/>
    <x v="132"/>
    <x v="0"/>
    <x v="133"/>
    <x v="0"/>
    <n v="15"/>
    <x v="2"/>
    <s v="Yes"/>
    <x v="0"/>
    <s v="Yes"/>
    <n v="20"/>
    <n v="7"/>
    <n v="58"/>
  </r>
  <r>
    <n v="3365"/>
    <x v="133"/>
    <x v="2"/>
    <x v="134"/>
    <x v="1"/>
    <n v="10"/>
    <x v="0"/>
    <s v="No"/>
    <x v="1"/>
    <s v="Yes"/>
    <n v="20"/>
    <n v="10"/>
    <n v="20"/>
  </r>
  <r>
    <n v="3366"/>
    <x v="134"/>
    <x v="1"/>
    <x v="135"/>
    <x v="0"/>
    <n v="5"/>
    <x v="0"/>
    <s v="No"/>
    <x v="1"/>
    <s v="No"/>
    <n v="0"/>
    <n v="0"/>
    <n v="5"/>
  </r>
  <r>
    <n v="3367"/>
    <x v="135"/>
    <x v="0"/>
    <x v="136"/>
    <x v="1"/>
    <n v="15"/>
    <x v="2"/>
    <s v="Yes"/>
    <x v="0"/>
    <s v="Yes"/>
    <n v="20"/>
    <n v="7"/>
    <n v="58"/>
  </r>
  <r>
    <n v="3368"/>
    <x v="136"/>
    <x v="2"/>
    <x v="137"/>
    <x v="0"/>
    <n v="10"/>
    <x v="1"/>
    <s v="No"/>
    <x v="1"/>
    <s v="Yes"/>
    <n v="20"/>
    <n v="10"/>
    <n v="20"/>
  </r>
  <r>
    <n v="3369"/>
    <x v="137"/>
    <x v="1"/>
    <x v="138"/>
    <x v="1"/>
    <n v="5"/>
    <x v="2"/>
    <s v="No"/>
    <x v="1"/>
    <s v="No"/>
    <n v="0"/>
    <n v="1"/>
    <n v="4"/>
  </r>
  <r>
    <n v="3370"/>
    <x v="138"/>
    <x v="0"/>
    <x v="139"/>
    <x v="0"/>
    <n v="15"/>
    <x v="0"/>
    <s v="Yes"/>
    <x v="0"/>
    <s v="Yes"/>
    <n v="20"/>
    <n v="15"/>
    <n v="50"/>
  </r>
  <r>
    <n v="3371"/>
    <x v="139"/>
    <x v="2"/>
    <x v="140"/>
    <x v="1"/>
    <n v="10"/>
    <x v="0"/>
    <s v="No"/>
    <x v="1"/>
    <s v="Yes"/>
    <n v="20"/>
    <n v="5"/>
    <n v="25"/>
  </r>
  <r>
    <n v="3372"/>
    <x v="140"/>
    <x v="1"/>
    <x v="141"/>
    <x v="0"/>
    <n v="5"/>
    <x v="1"/>
    <s v="No"/>
    <x v="1"/>
    <s v="No"/>
    <n v="0"/>
    <n v="0"/>
    <n v="5"/>
  </r>
  <r>
    <n v="3373"/>
    <x v="141"/>
    <x v="0"/>
    <x v="142"/>
    <x v="1"/>
    <n v="15"/>
    <x v="2"/>
    <s v="Yes"/>
    <x v="0"/>
    <s v="Yes"/>
    <n v="20"/>
    <n v="20"/>
    <n v="45"/>
  </r>
  <r>
    <n v="3374"/>
    <x v="142"/>
    <x v="2"/>
    <x v="143"/>
    <x v="0"/>
    <n v="10"/>
    <x v="2"/>
    <s v="No"/>
    <x v="1"/>
    <s v="Yes"/>
    <n v="20"/>
    <n v="12"/>
    <n v="18"/>
  </r>
  <r>
    <n v="3375"/>
    <x v="143"/>
    <x v="1"/>
    <x v="144"/>
    <x v="1"/>
    <n v="5"/>
    <x v="0"/>
    <s v="No"/>
    <x v="1"/>
    <s v="No"/>
    <n v="0"/>
    <n v="2"/>
    <n v="3"/>
  </r>
  <r>
    <n v="3376"/>
    <x v="144"/>
    <x v="0"/>
    <x v="145"/>
    <x v="0"/>
    <n v="15"/>
    <x v="1"/>
    <s v="Yes"/>
    <x v="0"/>
    <s v="Yes"/>
    <n v="20"/>
    <n v="5"/>
    <n v="60"/>
  </r>
  <r>
    <n v="3377"/>
    <x v="145"/>
    <x v="2"/>
    <x v="146"/>
    <x v="1"/>
    <n v="10"/>
    <x v="0"/>
    <s v="No"/>
    <x v="1"/>
    <s v="Yes"/>
    <n v="20"/>
    <n v="10"/>
    <n v="20"/>
  </r>
  <r>
    <n v="3378"/>
    <x v="146"/>
    <x v="1"/>
    <x v="147"/>
    <x v="0"/>
    <n v="5"/>
    <x v="2"/>
    <s v="No"/>
    <x v="1"/>
    <s v="No"/>
    <n v="0"/>
    <n v="0"/>
    <n v="5"/>
  </r>
  <r>
    <n v="3379"/>
    <x v="147"/>
    <x v="0"/>
    <x v="148"/>
    <x v="1"/>
    <n v="15"/>
    <x v="0"/>
    <s v="Yes"/>
    <x v="0"/>
    <s v="Yes"/>
    <n v="20"/>
    <n v="3"/>
    <n v="62"/>
  </r>
  <r>
    <n v="3380"/>
    <x v="148"/>
    <x v="2"/>
    <x v="149"/>
    <x v="0"/>
    <n v="10"/>
    <x v="1"/>
    <s v="No"/>
    <x v="1"/>
    <s v="Yes"/>
    <n v="20"/>
    <n v="15"/>
    <n v="15"/>
  </r>
  <r>
    <n v="3381"/>
    <x v="149"/>
    <x v="1"/>
    <x v="150"/>
    <x v="1"/>
    <n v="5"/>
    <x v="0"/>
    <s v="No"/>
    <x v="1"/>
    <s v="No"/>
    <n v="0"/>
    <n v="1"/>
    <n v="4"/>
  </r>
  <r>
    <n v="3382"/>
    <x v="150"/>
    <x v="0"/>
    <x v="151"/>
    <x v="0"/>
    <n v="15"/>
    <x v="2"/>
    <s v="Yes"/>
    <x v="0"/>
    <s v="Yes"/>
    <n v="20"/>
    <n v="7"/>
    <n v="58"/>
  </r>
  <r>
    <n v="3383"/>
    <x v="151"/>
    <x v="2"/>
    <x v="152"/>
    <x v="1"/>
    <n v="10"/>
    <x v="0"/>
    <s v="No"/>
    <x v="1"/>
    <s v="Yes"/>
    <n v="20"/>
    <n v="10"/>
    <n v="20"/>
  </r>
  <r>
    <n v="3384"/>
    <x v="152"/>
    <x v="1"/>
    <x v="153"/>
    <x v="0"/>
    <n v="5"/>
    <x v="1"/>
    <s v="No"/>
    <x v="1"/>
    <s v="No"/>
    <n v="0"/>
    <n v="0"/>
    <n v="5"/>
  </r>
  <r>
    <n v="3385"/>
    <x v="153"/>
    <x v="0"/>
    <x v="154"/>
    <x v="1"/>
    <n v="15"/>
    <x v="0"/>
    <s v="Yes"/>
    <x v="0"/>
    <s v="Yes"/>
    <n v="20"/>
    <n v="20"/>
    <n v="45"/>
  </r>
  <r>
    <n v="3386"/>
    <x v="154"/>
    <x v="2"/>
    <x v="155"/>
    <x v="0"/>
    <n v="10"/>
    <x v="2"/>
    <s v="No"/>
    <x v="1"/>
    <s v="Yes"/>
    <n v="20"/>
    <n v="15"/>
    <n v="15"/>
  </r>
  <r>
    <n v="3387"/>
    <x v="155"/>
    <x v="1"/>
    <x v="156"/>
    <x v="1"/>
    <n v="5"/>
    <x v="0"/>
    <s v="No"/>
    <x v="1"/>
    <s v="No"/>
    <n v="0"/>
    <n v="1"/>
    <n v="4"/>
  </r>
  <r>
    <n v="3388"/>
    <x v="156"/>
    <x v="0"/>
    <x v="157"/>
    <x v="0"/>
    <n v="15"/>
    <x v="1"/>
    <s v="Yes"/>
    <x v="0"/>
    <s v="Yes"/>
    <n v="20"/>
    <n v="3"/>
    <n v="62"/>
  </r>
  <r>
    <n v="3389"/>
    <x v="157"/>
    <x v="2"/>
    <x v="158"/>
    <x v="1"/>
    <n v="10"/>
    <x v="0"/>
    <s v="No"/>
    <x v="1"/>
    <s v="Yes"/>
    <n v="20"/>
    <n v="10"/>
    <n v="20"/>
  </r>
  <r>
    <n v="3390"/>
    <x v="158"/>
    <x v="1"/>
    <x v="159"/>
    <x v="0"/>
    <n v="5"/>
    <x v="2"/>
    <s v="No"/>
    <x v="1"/>
    <s v="No"/>
    <n v="0"/>
    <n v="0"/>
    <n v="5"/>
  </r>
  <r>
    <n v="3391"/>
    <x v="58"/>
    <x v="0"/>
    <x v="160"/>
    <x v="1"/>
    <n v="15"/>
    <x v="0"/>
    <s v="Yes"/>
    <x v="0"/>
    <s v="Yes"/>
    <n v="20"/>
    <n v="15"/>
    <n v="50"/>
  </r>
  <r>
    <n v="3392"/>
    <x v="159"/>
    <x v="2"/>
    <x v="161"/>
    <x v="0"/>
    <n v="10"/>
    <x v="1"/>
    <s v="No"/>
    <x v="1"/>
    <s v="Yes"/>
    <n v="20"/>
    <n v="15"/>
    <n v="15"/>
  </r>
  <r>
    <n v="3393"/>
    <x v="160"/>
    <x v="1"/>
    <x v="162"/>
    <x v="1"/>
    <n v="5"/>
    <x v="0"/>
    <s v="No"/>
    <x v="1"/>
    <s v="No"/>
    <n v="0"/>
    <n v="1"/>
    <n v="4"/>
  </r>
  <r>
    <n v="3394"/>
    <x v="161"/>
    <x v="0"/>
    <x v="163"/>
    <x v="0"/>
    <n v="15"/>
    <x v="2"/>
    <s v="Yes"/>
    <x v="0"/>
    <s v="Yes"/>
    <n v="20"/>
    <n v="7"/>
    <n v="58"/>
  </r>
  <r>
    <n v="3395"/>
    <x v="162"/>
    <x v="2"/>
    <x v="164"/>
    <x v="1"/>
    <n v="10"/>
    <x v="0"/>
    <s v="No"/>
    <x v="1"/>
    <s v="Yes"/>
    <n v="20"/>
    <n v="10"/>
    <n v="20"/>
  </r>
  <r>
    <n v="3396"/>
    <x v="163"/>
    <x v="1"/>
    <x v="165"/>
    <x v="0"/>
    <n v="5"/>
    <x v="1"/>
    <s v="No"/>
    <x v="1"/>
    <s v="No"/>
    <n v="0"/>
    <n v="0"/>
    <n v="5"/>
  </r>
  <r>
    <n v="3397"/>
    <x v="90"/>
    <x v="0"/>
    <x v="166"/>
    <x v="1"/>
    <n v="15"/>
    <x v="0"/>
    <s v="Yes"/>
    <x v="0"/>
    <s v="Yes"/>
    <n v="20"/>
    <n v="20"/>
    <n v="45"/>
  </r>
  <r>
    <n v="3398"/>
    <x v="164"/>
    <x v="2"/>
    <x v="167"/>
    <x v="0"/>
    <n v="10"/>
    <x v="2"/>
    <s v="No"/>
    <x v="1"/>
    <s v="Yes"/>
    <n v="20"/>
    <n v="15"/>
    <n v="15"/>
  </r>
  <r>
    <n v="3399"/>
    <x v="165"/>
    <x v="1"/>
    <x v="168"/>
    <x v="1"/>
    <n v="5"/>
    <x v="0"/>
    <s v="No"/>
    <x v="1"/>
    <s v="No"/>
    <n v="0"/>
    <n v="1"/>
    <n v="4"/>
  </r>
  <r>
    <n v="3400"/>
    <x v="166"/>
    <x v="0"/>
    <x v="169"/>
    <x v="0"/>
    <n v="15"/>
    <x v="1"/>
    <s v="Yes"/>
    <x v="0"/>
    <s v="Yes"/>
    <n v="20"/>
    <n v="5"/>
    <n v="60"/>
  </r>
  <r>
    <n v="3401"/>
    <x v="167"/>
    <x v="2"/>
    <x v="170"/>
    <x v="1"/>
    <n v="10"/>
    <x v="0"/>
    <s v="No"/>
    <x v="1"/>
    <s v="Yes"/>
    <n v="20"/>
    <n v="10"/>
    <n v="20"/>
  </r>
  <r>
    <n v="3402"/>
    <x v="168"/>
    <x v="1"/>
    <x v="171"/>
    <x v="0"/>
    <n v="5"/>
    <x v="2"/>
    <s v="No"/>
    <x v="1"/>
    <s v="No"/>
    <n v="0"/>
    <n v="0"/>
    <n v="5"/>
  </r>
  <r>
    <n v="3403"/>
    <x v="169"/>
    <x v="0"/>
    <x v="172"/>
    <x v="1"/>
    <n v="15"/>
    <x v="0"/>
    <s v="Yes"/>
    <x v="0"/>
    <s v="Yes"/>
    <n v="20"/>
    <n v="3"/>
    <n v="62"/>
  </r>
  <r>
    <n v="3404"/>
    <x v="170"/>
    <x v="2"/>
    <x v="173"/>
    <x v="0"/>
    <n v="10"/>
    <x v="1"/>
    <s v="No"/>
    <x v="1"/>
    <s v="Yes"/>
    <n v="20"/>
    <n v="15"/>
    <n v="15"/>
  </r>
  <r>
    <n v="3405"/>
    <x v="171"/>
    <x v="1"/>
    <x v="174"/>
    <x v="1"/>
    <n v="5"/>
    <x v="0"/>
    <s v="No"/>
    <x v="1"/>
    <s v="No"/>
    <n v="0"/>
    <n v="1"/>
    <n v="4"/>
  </r>
  <r>
    <n v="3406"/>
    <x v="172"/>
    <x v="1"/>
    <x v="175"/>
    <x v="0"/>
    <n v="5"/>
    <x v="0"/>
    <s v="No"/>
    <x v="1"/>
    <s v="No"/>
    <n v="0"/>
    <n v="0"/>
    <n v="5"/>
  </r>
  <r>
    <n v="3407"/>
    <x v="173"/>
    <x v="0"/>
    <x v="176"/>
    <x v="1"/>
    <n v="15"/>
    <x v="2"/>
    <s v="Yes"/>
    <x v="0"/>
    <s v="Yes"/>
    <n v="20"/>
    <n v="7"/>
    <n v="58"/>
  </r>
  <r>
    <n v="3408"/>
    <x v="174"/>
    <x v="2"/>
    <x v="177"/>
    <x v="0"/>
    <n v="10"/>
    <x v="1"/>
    <s v="No"/>
    <x v="1"/>
    <s v="Yes"/>
    <n v="20"/>
    <n v="10"/>
    <n v="20"/>
  </r>
  <r>
    <n v="3409"/>
    <x v="175"/>
    <x v="1"/>
    <x v="178"/>
    <x v="1"/>
    <n v="5"/>
    <x v="2"/>
    <s v="No"/>
    <x v="1"/>
    <s v="No"/>
    <n v="0"/>
    <n v="1"/>
    <n v="4"/>
  </r>
  <r>
    <n v="3410"/>
    <x v="176"/>
    <x v="0"/>
    <x v="179"/>
    <x v="0"/>
    <n v="15"/>
    <x v="0"/>
    <s v="Yes"/>
    <x v="0"/>
    <s v="Yes"/>
    <n v="20"/>
    <n v="15"/>
    <n v="50"/>
  </r>
  <r>
    <n v="3411"/>
    <x v="177"/>
    <x v="2"/>
    <x v="180"/>
    <x v="1"/>
    <n v="10"/>
    <x v="0"/>
    <s v="No"/>
    <x v="1"/>
    <s v="Yes"/>
    <n v="20"/>
    <n v="5"/>
    <n v="25"/>
  </r>
  <r>
    <n v="3412"/>
    <x v="178"/>
    <x v="1"/>
    <x v="181"/>
    <x v="0"/>
    <n v="5"/>
    <x v="1"/>
    <s v="No"/>
    <x v="1"/>
    <s v="No"/>
    <n v="0"/>
    <n v="0"/>
    <n v="5"/>
  </r>
  <r>
    <n v="3413"/>
    <x v="179"/>
    <x v="0"/>
    <x v="182"/>
    <x v="1"/>
    <n v="15"/>
    <x v="2"/>
    <s v="Yes"/>
    <x v="0"/>
    <s v="Yes"/>
    <n v="20"/>
    <n v="20"/>
    <n v="45"/>
  </r>
  <r>
    <n v="3414"/>
    <x v="180"/>
    <x v="2"/>
    <x v="183"/>
    <x v="0"/>
    <n v="10"/>
    <x v="2"/>
    <s v="No"/>
    <x v="1"/>
    <s v="Yes"/>
    <n v="20"/>
    <n v="12"/>
    <n v="18"/>
  </r>
  <r>
    <n v="3415"/>
    <x v="181"/>
    <x v="1"/>
    <x v="184"/>
    <x v="1"/>
    <n v="5"/>
    <x v="0"/>
    <s v="No"/>
    <x v="1"/>
    <s v="No"/>
    <n v="0"/>
    <n v="2"/>
    <n v="3"/>
  </r>
  <r>
    <n v="3416"/>
    <x v="182"/>
    <x v="0"/>
    <x v="185"/>
    <x v="0"/>
    <n v="15"/>
    <x v="1"/>
    <s v="Yes"/>
    <x v="0"/>
    <s v="Yes"/>
    <n v="20"/>
    <n v="5"/>
    <n v="60"/>
  </r>
  <r>
    <n v="3417"/>
    <x v="183"/>
    <x v="2"/>
    <x v="186"/>
    <x v="1"/>
    <n v="10"/>
    <x v="0"/>
    <s v="No"/>
    <x v="1"/>
    <s v="Yes"/>
    <n v="20"/>
    <n v="10"/>
    <n v="20"/>
  </r>
  <r>
    <n v="3418"/>
    <x v="184"/>
    <x v="1"/>
    <x v="187"/>
    <x v="0"/>
    <n v="5"/>
    <x v="2"/>
    <s v="No"/>
    <x v="1"/>
    <s v="No"/>
    <n v="0"/>
    <n v="0"/>
    <n v="5"/>
  </r>
  <r>
    <n v="3419"/>
    <x v="185"/>
    <x v="0"/>
    <x v="188"/>
    <x v="1"/>
    <n v="15"/>
    <x v="0"/>
    <s v="Yes"/>
    <x v="0"/>
    <s v="Yes"/>
    <n v="20"/>
    <n v="3"/>
    <n v="62"/>
  </r>
  <r>
    <n v="3420"/>
    <x v="186"/>
    <x v="2"/>
    <x v="189"/>
    <x v="0"/>
    <n v="10"/>
    <x v="1"/>
    <s v="No"/>
    <x v="1"/>
    <s v="Yes"/>
    <n v="20"/>
    <n v="15"/>
    <n v="15"/>
  </r>
  <r>
    <n v="3421"/>
    <x v="15"/>
    <x v="1"/>
    <x v="190"/>
    <x v="1"/>
    <n v="5"/>
    <x v="0"/>
    <s v="No"/>
    <x v="1"/>
    <s v="No"/>
    <n v="0"/>
    <n v="1"/>
    <n v="4"/>
  </r>
  <r>
    <n v="3422"/>
    <x v="187"/>
    <x v="0"/>
    <x v="191"/>
    <x v="0"/>
    <n v="15"/>
    <x v="2"/>
    <s v="Yes"/>
    <x v="0"/>
    <s v="Yes"/>
    <n v="20"/>
    <n v="7"/>
    <n v="58"/>
  </r>
  <r>
    <n v="3423"/>
    <x v="188"/>
    <x v="2"/>
    <x v="192"/>
    <x v="1"/>
    <n v="10"/>
    <x v="0"/>
    <s v="No"/>
    <x v="1"/>
    <s v="Yes"/>
    <n v="20"/>
    <n v="10"/>
    <n v="20"/>
  </r>
  <r>
    <n v="3424"/>
    <x v="14"/>
    <x v="1"/>
    <x v="193"/>
    <x v="0"/>
    <n v="5"/>
    <x v="1"/>
    <s v="No"/>
    <x v="1"/>
    <s v="No"/>
    <n v="0"/>
    <n v="0"/>
    <n v="5"/>
  </r>
  <r>
    <n v="3425"/>
    <x v="189"/>
    <x v="0"/>
    <x v="194"/>
    <x v="1"/>
    <n v="15"/>
    <x v="0"/>
    <s v="Yes"/>
    <x v="0"/>
    <s v="Yes"/>
    <n v="20"/>
    <n v="20"/>
    <n v="45"/>
  </r>
  <r>
    <n v="3426"/>
    <x v="167"/>
    <x v="2"/>
    <x v="195"/>
    <x v="0"/>
    <n v="10"/>
    <x v="2"/>
    <s v="No"/>
    <x v="1"/>
    <s v="Yes"/>
    <n v="20"/>
    <n v="15"/>
    <n v="15"/>
  </r>
  <r>
    <n v="3427"/>
    <x v="190"/>
    <x v="1"/>
    <x v="196"/>
    <x v="1"/>
    <n v="5"/>
    <x v="0"/>
    <s v="No"/>
    <x v="1"/>
    <s v="No"/>
    <n v="0"/>
    <n v="1"/>
    <n v="4"/>
  </r>
  <r>
    <n v="3428"/>
    <x v="191"/>
    <x v="0"/>
    <x v="197"/>
    <x v="0"/>
    <n v="15"/>
    <x v="1"/>
    <s v="Yes"/>
    <x v="0"/>
    <s v="Yes"/>
    <n v="20"/>
    <n v="3"/>
    <n v="62"/>
  </r>
  <r>
    <n v="3429"/>
    <x v="192"/>
    <x v="2"/>
    <x v="198"/>
    <x v="1"/>
    <n v="10"/>
    <x v="0"/>
    <s v="No"/>
    <x v="1"/>
    <s v="Yes"/>
    <n v="20"/>
    <n v="10"/>
    <n v="20"/>
  </r>
  <r>
    <n v="3430"/>
    <x v="193"/>
    <x v="1"/>
    <x v="199"/>
    <x v="0"/>
    <n v="5"/>
    <x v="2"/>
    <s v="No"/>
    <x v="1"/>
    <s v="No"/>
    <n v="0"/>
    <n v="0"/>
    <n v="5"/>
  </r>
  <r>
    <n v="3431"/>
    <x v="194"/>
    <x v="0"/>
    <x v="200"/>
    <x v="1"/>
    <n v="15"/>
    <x v="0"/>
    <s v="Yes"/>
    <x v="0"/>
    <s v="Yes"/>
    <n v="20"/>
    <n v="15"/>
    <n v="50"/>
  </r>
  <r>
    <n v="3432"/>
    <x v="195"/>
    <x v="2"/>
    <x v="201"/>
    <x v="0"/>
    <n v="10"/>
    <x v="1"/>
    <s v="No"/>
    <x v="1"/>
    <s v="Yes"/>
    <n v="20"/>
    <n v="15"/>
    <n v="15"/>
  </r>
  <r>
    <n v="3433"/>
    <x v="196"/>
    <x v="1"/>
    <x v="202"/>
    <x v="1"/>
    <n v="5"/>
    <x v="0"/>
    <s v="No"/>
    <x v="1"/>
    <s v="No"/>
    <n v="0"/>
    <n v="1"/>
    <n v="4"/>
  </r>
  <r>
    <n v="3434"/>
    <x v="197"/>
    <x v="0"/>
    <x v="203"/>
    <x v="0"/>
    <n v="15"/>
    <x v="2"/>
    <s v="Yes"/>
    <x v="0"/>
    <s v="Yes"/>
    <n v="20"/>
    <n v="7"/>
    <n v="58"/>
  </r>
  <r>
    <n v="3435"/>
    <x v="198"/>
    <x v="2"/>
    <x v="204"/>
    <x v="1"/>
    <n v="10"/>
    <x v="0"/>
    <s v="No"/>
    <x v="1"/>
    <s v="Yes"/>
    <n v="20"/>
    <n v="10"/>
    <n v="20"/>
  </r>
  <r>
    <n v="3436"/>
    <x v="199"/>
    <x v="1"/>
    <x v="205"/>
    <x v="0"/>
    <n v="5"/>
    <x v="0"/>
    <s v="No"/>
    <x v="1"/>
    <s v="No"/>
    <n v="0"/>
    <n v="0"/>
    <n v="5"/>
  </r>
  <r>
    <n v="3437"/>
    <x v="200"/>
    <x v="0"/>
    <x v="206"/>
    <x v="1"/>
    <n v="15"/>
    <x v="2"/>
    <s v="Yes"/>
    <x v="0"/>
    <s v="Yes"/>
    <n v="20"/>
    <n v="7"/>
    <n v="58"/>
  </r>
  <r>
    <n v="3438"/>
    <x v="201"/>
    <x v="2"/>
    <x v="207"/>
    <x v="0"/>
    <n v="10"/>
    <x v="1"/>
    <s v="No"/>
    <x v="1"/>
    <s v="Yes"/>
    <n v="20"/>
    <n v="10"/>
    <n v="20"/>
  </r>
  <r>
    <n v="3439"/>
    <x v="202"/>
    <x v="1"/>
    <x v="208"/>
    <x v="1"/>
    <n v="5"/>
    <x v="2"/>
    <s v="No"/>
    <x v="1"/>
    <s v="No"/>
    <n v="0"/>
    <n v="1"/>
    <n v="4"/>
  </r>
  <r>
    <n v="3440"/>
    <x v="203"/>
    <x v="0"/>
    <x v="209"/>
    <x v="0"/>
    <n v="15"/>
    <x v="0"/>
    <s v="Yes"/>
    <x v="0"/>
    <s v="Yes"/>
    <n v="20"/>
    <n v="15"/>
    <n v="50"/>
  </r>
  <r>
    <n v="3441"/>
    <x v="204"/>
    <x v="2"/>
    <x v="210"/>
    <x v="1"/>
    <n v="10"/>
    <x v="0"/>
    <s v="No"/>
    <x v="1"/>
    <s v="Yes"/>
    <n v="20"/>
    <n v="5"/>
    <n v="25"/>
  </r>
  <r>
    <n v="3442"/>
    <x v="205"/>
    <x v="1"/>
    <x v="211"/>
    <x v="0"/>
    <n v="5"/>
    <x v="1"/>
    <s v="No"/>
    <x v="1"/>
    <s v="No"/>
    <n v="0"/>
    <n v="0"/>
    <n v="5"/>
  </r>
  <r>
    <n v="3443"/>
    <x v="206"/>
    <x v="0"/>
    <x v="212"/>
    <x v="1"/>
    <n v="15"/>
    <x v="2"/>
    <s v="Yes"/>
    <x v="0"/>
    <s v="Yes"/>
    <n v="20"/>
    <n v="20"/>
    <n v="45"/>
  </r>
  <r>
    <n v="3444"/>
    <x v="207"/>
    <x v="2"/>
    <x v="213"/>
    <x v="0"/>
    <n v="10"/>
    <x v="2"/>
    <s v="No"/>
    <x v="1"/>
    <s v="Yes"/>
    <n v="20"/>
    <n v="12"/>
    <n v="18"/>
  </r>
  <r>
    <n v="3445"/>
    <x v="37"/>
    <x v="1"/>
    <x v="214"/>
    <x v="1"/>
    <n v="5"/>
    <x v="0"/>
    <s v="No"/>
    <x v="1"/>
    <s v="No"/>
    <n v="0"/>
    <n v="2"/>
    <n v="3"/>
  </r>
  <r>
    <n v="3446"/>
    <x v="208"/>
    <x v="0"/>
    <x v="215"/>
    <x v="0"/>
    <n v="15"/>
    <x v="1"/>
    <s v="Yes"/>
    <x v="0"/>
    <s v="Yes"/>
    <n v="20"/>
    <n v="5"/>
    <n v="60"/>
  </r>
  <r>
    <n v="3447"/>
    <x v="209"/>
    <x v="2"/>
    <x v="216"/>
    <x v="1"/>
    <n v="10"/>
    <x v="0"/>
    <s v="No"/>
    <x v="1"/>
    <s v="Yes"/>
    <n v="20"/>
    <n v="10"/>
    <n v="20"/>
  </r>
  <r>
    <n v="3448"/>
    <x v="210"/>
    <x v="1"/>
    <x v="217"/>
    <x v="0"/>
    <n v="5"/>
    <x v="2"/>
    <s v="No"/>
    <x v="1"/>
    <s v="No"/>
    <n v="0"/>
    <n v="0"/>
    <n v="5"/>
  </r>
  <r>
    <n v="3449"/>
    <x v="211"/>
    <x v="0"/>
    <x v="218"/>
    <x v="1"/>
    <n v="15"/>
    <x v="0"/>
    <s v="Yes"/>
    <x v="0"/>
    <s v="Yes"/>
    <n v="20"/>
    <n v="3"/>
    <n v="62"/>
  </r>
  <r>
    <n v="3450"/>
    <x v="212"/>
    <x v="2"/>
    <x v="219"/>
    <x v="0"/>
    <n v="10"/>
    <x v="1"/>
    <s v="No"/>
    <x v="1"/>
    <s v="Yes"/>
    <n v="20"/>
    <n v="15"/>
    <n v="15"/>
  </r>
  <r>
    <n v="3451"/>
    <x v="213"/>
    <x v="1"/>
    <x v="220"/>
    <x v="1"/>
    <n v="5"/>
    <x v="0"/>
    <s v="No"/>
    <x v="1"/>
    <s v="No"/>
    <n v="0"/>
    <n v="1"/>
    <n v="4"/>
  </r>
  <r>
    <n v="3452"/>
    <x v="191"/>
    <x v="0"/>
    <x v="221"/>
    <x v="0"/>
    <n v="15"/>
    <x v="2"/>
    <s v="Yes"/>
    <x v="0"/>
    <s v="Yes"/>
    <n v="20"/>
    <n v="7"/>
    <n v="58"/>
  </r>
  <r>
    <n v="3453"/>
    <x v="45"/>
    <x v="2"/>
    <x v="222"/>
    <x v="1"/>
    <n v="10"/>
    <x v="0"/>
    <s v="No"/>
    <x v="1"/>
    <s v="Yes"/>
    <n v="20"/>
    <n v="10"/>
    <n v="20"/>
  </r>
  <r>
    <n v="3454"/>
    <x v="214"/>
    <x v="1"/>
    <x v="223"/>
    <x v="0"/>
    <n v="5"/>
    <x v="1"/>
    <s v="No"/>
    <x v="1"/>
    <s v="No"/>
    <n v="0"/>
    <n v="0"/>
    <n v="5"/>
  </r>
  <r>
    <n v="3455"/>
    <x v="215"/>
    <x v="0"/>
    <x v="224"/>
    <x v="1"/>
    <n v="15"/>
    <x v="0"/>
    <s v="Yes"/>
    <x v="0"/>
    <s v="Yes"/>
    <n v="20"/>
    <n v="20"/>
    <n v="45"/>
  </r>
  <r>
    <n v="3456"/>
    <x v="216"/>
    <x v="2"/>
    <x v="225"/>
    <x v="0"/>
    <n v="10"/>
    <x v="2"/>
    <s v="No"/>
    <x v="1"/>
    <s v="Yes"/>
    <n v="20"/>
    <n v="15"/>
    <n v="15"/>
  </r>
  <r>
    <n v="3457"/>
    <x v="217"/>
    <x v="1"/>
    <x v="226"/>
    <x v="1"/>
    <n v="5"/>
    <x v="0"/>
    <s v="No"/>
    <x v="1"/>
    <s v="No"/>
    <n v="0"/>
    <n v="1"/>
    <n v="4"/>
  </r>
  <r>
    <n v="3458"/>
    <x v="218"/>
    <x v="0"/>
    <x v="227"/>
    <x v="0"/>
    <n v="15"/>
    <x v="1"/>
    <s v="Yes"/>
    <x v="0"/>
    <s v="Yes"/>
    <n v="20"/>
    <n v="3"/>
    <n v="62"/>
  </r>
  <r>
    <n v="3459"/>
    <x v="219"/>
    <x v="2"/>
    <x v="228"/>
    <x v="1"/>
    <n v="10"/>
    <x v="0"/>
    <s v="No"/>
    <x v="1"/>
    <s v="Yes"/>
    <n v="20"/>
    <n v="10"/>
    <n v="20"/>
  </r>
  <r>
    <n v="3460"/>
    <x v="127"/>
    <x v="1"/>
    <x v="229"/>
    <x v="0"/>
    <n v="5"/>
    <x v="2"/>
    <s v="No"/>
    <x v="1"/>
    <s v="No"/>
    <n v="0"/>
    <n v="0"/>
    <n v="5"/>
  </r>
  <r>
    <n v="3461"/>
    <x v="220"/>
    <x v="0"/>
    <x v="230"/>
    <x v="1"/>
    <n v="15"/>
    <x v="0"/>
    <s v="Yes"/>
    <x v="0"/>
    <s v="Yes"/>
    <n v="20"/>
    <n v="15"/>
    <n v="50"/>
  </r>
  <r>
    <n v="3462"/>
    <x v="221"/>
    <x v="2"/>
    <x v="231"/>
    <x v="0"/>
    <n v="10"/>
    <x v="1"/>
    <s v="No"/>
    <x v="1"/>
    <s v="Yes"/>
    <n v="20"/>
    <n v="15"/>
    <n v="15"/>
  </r>
  <r>
    <n v="3463"/>
    <x v="222"/>
    <x v="1"/>
    <x v="232"/>
    <x v="1"/>
    <n v="5"/>
    <x v="0"/>
    <s v="No"/>
    <x v="1"/>
    <s v="No"/>
    <n v="0"/>
    <n v="1"/>
    <n v="4"/>
  </r>
  <r>
    <n v="3464"/>
    <x v="223"/>
    <x v="0"/>
    <x v="233"/>
    <x v="0"/>
    <n v="15"/>
    <x v="2"/>
    <s v="Yes"/>
    <x v="0"/>
    <s v="Yes"/>
    <n v="20"/>
    <n v="7"/>
    <n v="58"/>
  </r>
  <r>
    <n v="3465"/>
    <x v="224"/>
    <x v="2"/>
    <x v="234"/>
    <x v="1"/>
    <n v="10"/>
    <x v="0"/>
    <s v="No"/>
    <x v="1"/>
    <s v="Yes"/>
    <n v="20"/>
    <n v="10"/>
    <n v="20"/>
  </r>
  <r>
    <n v="3466"/>
    <x v="225"/>
    <x v="1"/>
    <x v="235"/>
    <x v="0"/>
    <n v="5"/>
    <x v="1"/>
    <s v="No"/>
    <x v="1"/>
    <s v="No"/>
    <n v="0"/>
    <n v="0"/>
    <n v="5"/>
  </r>
  <r>
    <n v="3467"/>
    <x v="226"/>
    <x v="0"/>
    <x v="236"/>
    <x v="1"/>
    <n v="15"/>
    <x v="0"/>
    <s v="Yes"/>
    <x v="0"/>
    <s v="Yes"/>
    <n v="20"/>
    <n v="15"/>
    <n v="50"/>
  </r>
  <r>
    <n v="3468"/>
    <x v="227"/>
    <x v="2"/>
    <x v="237"/>
    <x v="0"/>
    <n v="10"/>
    <x v="2"/>
    <s v="No"/>
    <x v="1"/>
    <s v="Yes"/>
    <n v="20"/>
    <n v="12"/>
    <n v="18"/>
  </r>
  <r>
    <n v="3469"/>
    <x v="228"/>
    <x v="1"/>
    <x v="238"/>
    <x v="1"/>
    <n v="5"/>
    <x v="0"/>
    <s v="No"/>
    <x v="1"/>
    <s v="No"/>
    <n v="0"/>
    <n v="2"/>
    <n v="3"/>
  </r>
  <r>
    <n v="3470"/>
    <x v="229"/>
    <x v="0"/>
    <x v="239"/>
    <x v="0"/>
    <n v="15"/>
    <x v="1"/>
    <s v="Yes"/>
    <x v="0"/>
    <s v="Yes"/>
    <n v="20"/>
    <n v="5"/>
    <n v="60"/>
  </r>
  <r>
    <n v="3471"/>
    <x v="230"/>
    <x v="2"/>
    <x v="240"/>
    <x v="1"/>
    <n v="10"/>
    <x v="0"/>
    <s v="No"/>
    <x v="1"/>
    <s v="Yes"/>
    <n v="20"/>
    <n v="10"/>
    <n v="20"/>
  </r>
  <r>
    <n v="3472"/>
    <x v="231"/>
    <x v="1"/>
    <x v="241"/>
    <x v="0"/>
    <n v="5"/>
    <x v="2"/>
    <s v="No"/>
    <x v="1"/>
    <s v="No"/>
    <n v="0"/>
    <n v="0"/>
    <n v="5"/>
  </r>
  <r>
    <n v="3473"/>
    <x v="140"/>
    <x v="0"/>
    <x v="242"/>
    <x v="1"/>
    <n v="15"/>
    <x v="0"/>
    <s v="Yes"/>
    <x v="0"/>
    <s v="Yes"/>
    <n v="20"/>
    <n v="3"/>
    <n v="62"/>
  </r>
  <r>
    <n v="3474"/>
    <x v="232"/>
    <x v="2"/>
    <x v="243"/>
    <x v="0"/>
    <n v="10"/>
    <x v="1"/>
    <s v="No"/>
    <x v="1"/>
    <s v="Yes"/>
    <n v="20"/>
    <n v="15"/>
    <n v="15"/>
  </r>
  <r>
    <n v="3475"/>
    <x v="233"/>
    <x v="1"/>
    <x v="244"/>
    <x v="1"/>
    <n v="5"/>
    <x v="0"/>
    <s v="No"/>
    <x v="1"/>
    <s v="No"/>
    <n v="0"/>
    <n v="1"/>
    <n v="4"/>
  </r>
  <r>
    <n v="3476"/>
    <x v="234"/>
    <x v="0"/>
    <x v="245"/>
    <x v="0"/>
    <n v="15"/>
    <x v="2"/>
    <s v="Yes"/>
    <x v="0"/>
    <s v="Yes"/>
    <n v="20"/>
    <n v="7"/>
    <n v="58"/>
  </r>
  <r>
    <n v="3477"/>
    <x v="235"/>
    <x v="2"/>
    <x v="246"/>
    <x v="1"/>
    <n v="10"/>
    <x v="0"/>
    <s v="No"/>
    <x v="1"/>
    <s v="Yes"/>
    <n v="20"/>
    <n v="10"/>
    <n v="20"/>
  </r>
  <r>
    <n v="3478"/>
    <x v="236"/>
    <x v="1"/>
    <x v="247"/>
    <x v="0"/>
    <n v="5"/>
    <x v="1"/>
    <s v="No"/>
    <x v="1"/>
    <s v="No"/>
    <n v="0"/>
    <n v="0"/>
    <n v="5"/>
  </r>
  <r>
    <n v="3479"/>
    <x v="237"/>
    <x v="0"/>
    <x v="248"/>
    <x v="1"/>
    <n v="15"/>
    <x v="0"/>
    <s v="Yes"/>
    <x v="0"/>
    <s v="Yes"/>
    <n v="20"/>
    <n v="20"/>
    <n v="45"/>
  </r>
  <r>
    <n v="3480"/>
    <x v="238"/>
    <x v="2"/>
    <x v="249"/>
    <x v="0"/>
    <n v="10"/>
    <x v="2"/>
    <s v="No"/>
    <x v="1"/>
    <s v="Yes"/>
    <n v="20"/>
    <n v="15"/>
    <n v="15"/>
  </r>
  <r>
    <n v="3481"/>
    <x v="239"/>
    <x v="1"/>
    <x v="250"/>
    <x v="1"/>
    <n v="5"/>
    <x v="0"/>
    <s v="No"/>
    <x v="1"/>
    <s v="No"/>
    <n v="0"/>
    <n v="1"/>
    <n v="4"/>
  </r>
  <r>
    <n v="3482"/>
    <x v="240"/>
    <x v="0"/>
    <x v="251"/>
    <x v="0"/>
    <n v="15"/>
    <x v="1"/>
    <s v="Yes"/>
    <x v="0"/>
    <s v="Yes"/>
    <n v="20"/>
    <n v="3"/>
    <n v="62"/>
  </r>
  <r>
    <n v="3483"/>
    <x v="241"/>
    <x v="2"/>
    <x v="252"/>
    <x v="1"/>
    <n v="10"/>
    <x v="0"/>
    <s v="No"/>
    <x v="1"/>
    <s v="Yes"/>
    <n v="20"/>
    <n v="10"/>
    <n v="20"/>
  </r>
  <r>
    <n v="3484"/>
    <x v="242"/>
    <x v="1"/>
    <x v="253"/>
    <x v="0"/>
    <n v="5"/>
    <x v="2"/>
    <s v="No"/>
    <x v="1"/>
    <s v="No"/>
    <n v="0"/>
    <n v="0"/>
    <n v="5"/>
  </r>
  <r>
    <n v="3485"/>
    <x v="243"/>
    <x v="0"/>
    <x v="254"/>
    <x v="1"/>
    <n v="15"/>
    <x v="0"/>
    <s v="Yes"/>
    <x v="0"/>
    <s v="Yes"/>
    <n v="20"/>
    <n v="15"/>
    <n v="50"/>
  </r>
  <r>
    <n v="3486"/>
    <x v="244"/>
    <x v="1"/>
    <x v="255"/>
    <x v="0"/>
    <n v="5"/>
    <x v="0"/>
    <s v="No"/>
    <x v="1"/>
    <s v="No"/>
    <n v="0"/>
    <n v="0"/>
    <n v="5"/>
  </r>
  <r>
    <n v="3487"/>
    <x v="245"/>
    <x v="0"/>
    <x v="256"/>
    <x v="1"/>
    <n v="15"/>
    <x v="2"/>
    <s v="Yes"/>
    <x v="0"/>
    <s v="Yes"/>
    <n v="20"/>
    <n v="7"/>
    <n v="58"/>
  </r>
  <r>
    <n v="3488"/>
    <x v="246"/>
    <x v="2"/>
    <x v="257"/>
    <x v="0"/>
    <n v="10"/>
    <x v="1"/>
    <s v="No"/>
    <x v="1"/>
    <s v="Yes"/>
    <n v="20"/>
    <n v="10"/>
    <n v="20"/>
  </r>
  <r>
    <n v="3489"/>
    <x v="247"/>
    <x v="1"/>
    <x v="258"/>
    <x v="1"/>
    <n v="5"/>
    <x v="2"/>
    <s v="No"/>
    <x v="1"/>
    <s v="No"/>
    <n v="0"/>
    <n v="1"/>
    <n v="4"/>
  </r>
  <r>
    <n v="3490"/>
    <x v="248"/>
    <x v="0"/>
    <x v="259"/>
    <x v="0"/>
    <n v="15"/>
    <x v="0"/>
    <s v="Yes"/>
    <x v="0"/>
    <s v="Yes"/>
    <n v="20"/>
    <n v="15"/>
    <n v="50"/>
  </r>
  <r>
    <n v="3491"/>
    <x v="249"/>
    <x v="2"/>
    <x v="260"/>
    <x v="1"/>
    <n v="10"/>
    <x v="0"/>
    <s v="No"/>
    <x v="1"/>
    <s v="Yes"/>
    <n v="20"/>
    <n v="5"/>
    <n v="25"/>
  </r>
  <r>
    <n v="3492"/>
    <x v="250"/>
    <x v="1"/>
    <x v="261"/>
    <x v="0"/>
    <n v="5"/>
    <x v="1"/>
    <s v="No"/>
    <x v="1"/>
    <s v="No"/>
    <n v="0"/>
    <n v="0"/>
    <n v="5"/>
  </r>
  <r>
    <n v="3493"/>
    <x v="251"/>
    <x v="0"/>
    <x v="262"/>
    <x v="1"/>
    <n v="15"/>
    <x v="2"/>
    <s v="Yes"/>
    <x v="0"/>
    <s v="Yes"/>
    <n v="20"/>
    <n v="20"/>
    <n v="45"/>
  </r>
  <r>
    <n v="3494"/>
    <x v="252"/>
    <x v="2"/>
    <x v="263"/>
    <x v="0"/>
    <n v="10"/>
    <x v="2"/>
    <s v="No"/>
    <x v="1"/>
    <s v="Yes"/>
    <n v="20"/>
    <n v="12"/>
    <n v="18"/>
  </r>
  <r>
    <n v="3495"/>
    <x v="253"/>
    <x v="1"/>
    <x v="264"/>
    <x v="1"/>
    <n v="5"/>
    <x v="0"/>
    <s v="No"/>
    <x v="1"/>
    <s v="No"/>
    <n v="0"/>
    <n v="2"/>
    <n v="3"/>
  </r>
  <r>
    <n v="3496"/>
    <x v="254"/>
    <x v="0"/>
    <x v="265"/>
    <x v="0"/>
    <n v="15"/>
    <x v="1"/>
    <s v="Yes"/>
    <x v="0"/>
    <s v="Yes"/>
    <n v="20"/>
    <n v="5"/>
    <n v="60"/>
  </r>
  <r>
    <n v="3497"/>
    <x v="255"/>
    <x v="2"/>
    <x v="266"/>
    <x v="1"/>
    <n v="10"/>
    <x v="0"/>
    <s v="No"/>
    <x v="1"/>
    <s v="Yes"/>
    <n v="20"/>
    <n v="10"/>
    <n v="20"/>
  </r>
  <r>
    <n v="3498"/>
    <x v="256"/>
    <x v="1"/>
    <x v="267"/>
    <x v="0"/>
    <n v="5"/>
    <x v="2"/>
    <s v="No"/>
    <x v="1"/>
    <s v="No"/>
    <n v="0"/>
    <n v="0"/>
    <n v="5"/>
  </r>
  <r>
    <n v="3499"/>
    <x v="257"/>
    <x v="0"/>
    <x v="268"/>
    <x v="1"/>
    <n v="15"/>
    <x v="0"/>
    <s v="Yes"/>
    <x v="0"/>
    <s v="Yes"/>
    <n v="20"/>
    <n v="3"/>
    <n v="62"/>
  </r>
  <r>
    <n v="3500"/>
    <x v="258"/>
    <x v="2"/>
    <x v="269"/>
    <x v="0"/>
    <n v="10"/>
    <x v="1"/>
    <s v="No"/>
    <x v="1"/>
    <s v="Yes"/>
    <n v="20"/>
    <n v="15"/>
    <n v="15"/>
  </r>
  <r>
    <n v="3501"/>
    <x v="259"/>
    <x v="1"/>
    <x v="270"/>
    <x v="1"/>
    <n v="5"/>
    <x v="0"/>
    <s v="No"/>
    <x v="1"/>
    <s v="No"/>
    <n v="0"/>
    <n v="1"/>
    <n v="4"/>
  </r>
  <r>
    <n v="3502"/>
    <x v="260"/>
    <x v="0"/>
    <x v="271"/>
    <x v="0"/>
    <n v="15"/>
    <x v="2"/>
    <s v="Yes"/>
    <x v="0"/>
    <s v="Yes"/>
    <n v="20"/>
    <n v="7"/>
    <n v="58"/>
  </r>
  <r>
    <n v="3503"/>
    <x v="119"/>
    <x v="2"/>
    <x v="272"/>
    <x v="1"/>
    <n v="10"/>
    <x v="0"/>
    <s v="No"/>
    <x v="1"/>
    <s v="Yes"/>
    <n v="20"/>
    <n v="10"/>
    <n v="20"/>
  </r>
  <r>
    <n v="3504"/>
    <x v="261"/>
    <x v="1"/>
    <x v="273"/>
    <x v="0"/>
    <n v="5"/>
    <x v="1"/>
    <s v="No"/>
    <x v="1"/>
    <s v="No"/>
    <n v="0"/>
    <n v="0"/>
    <n v="5"/>
  </r>
  <r>
    <n v="3505"/>
    <x v="262"/>
    <x v="0"/>
    <x v="274"/>
    <x v="1"/>
    <n v="15"/>
    <x v="0"/>
    <s v="Yes"/>
    <x v="0"/>
    <s v="Yes"/>
    <n v="20"/>
    <n v="20"/>
    <n v="45"/>
  </r>
  <r>
    <n v="3506"/>
    <x v="263"/>
    <x v="2"/>
    <x v="275"/>
    <x v="0"/>
    <n v="10"/>
    <x v="2"/>
    <s v="No"/>
    <x v="1"/>
    <s v="Yes"/>
    <n v="20"/>
    <n v="15"/>
    <n v="15"/>
  </r>
  <r>
    <n v="3507"/>
    <x v="264"/>
    <x v="1"/>
    <x v="276"/>
    <x v="1"/>
    <n v="5"/>
    <x v="0"/>
    <s v="No"/>
    <x v="1"/>
    <s v="No"/>
    <n v="0"/>
    <n v="1"/>
    <n v="4"/>
  </r>
  <r>
    <n v="3508"/>
    <x v="265"/>
    <x v="0"/>
    <x v="277"/>
    <x v="0"/>
    <n v="15"/>
    <x v="1"/>
    <s v="Yes"/>
    <x v="0"/>
    <s v="Yes"/>
    <n v="20"/>
    <n v="3"/>
    <n v="62"/>
  </r>
  <r>
    <n v="3509"/>
    <x v="266"/>
    <x v="2"/>
    <x v="278"/>
    <x v="1"/>
    <n v="10"/>
    <x v="0"/>
    <s v="No"/>
    <x v="1"/>
    <s v="Yes"/>
    <n v="20"/>
    <n v="10"/>
    <n v="20"/>
  </r>
  <r>
    <n v="3510"/>
    <x v="267"/>
    <x v="1"/>
    <x v="279"/>
    <x v="0"/>
    <n v="5"/>
    <x v="2"/>
    <s v="No"/>
    <x v="1"/>
    <s v="No"/>
    <n v="0"/>
    <n v="0"/>
    <n v="5"/>
  </r>
  <r>
    <n v="3511"/>
    <x v="268"/>
    <x v="0"/>
    <x v="280"/>
    <x v="1"/>
    <n v="15"/>
    <x v="0"/>
    <s v="Yes"/>
    <x v="0"/>
    <s v="Yes"/>
    <n v="20"/>
    <n v="15"/>
    <n v="50"/>
  </r>
  <r>
    <n v="3512"/>
    <x v="269"/>
    <x v="2"/>
    <x v="281"/>
    <x v="0"/>
    <n v="10"/>
    <x v="1"/>
    <s v="No"/>
    <x v="1"/>
    <s v="Yes"/>
    <n v="20"/>
    <n v="15"/>
    <n v="15"/>
  </r>
  <r>
    <n v="3513"/>
    <x v="270"/>
    <x v="1"/>
    <x v="282"/>
    <x v="1"/>
    <n v="5"/>
    <x v="0"/>
    <s v="No"/>
    <x v="1"/>
    <s v="No"/>
    <n v="0"/>
    <n v="1"/>
    <n v="4"/>
  </r>
  <r>
    <n v="3514"/>
    <x v="271"/>
    <x v="0"/>
    <x v="283"/>
    <x v="0"/>
    <n v="15"/>
    <x v="2"/>
    <s v="Yes"/>
    <x v="0"/>
    <s v="Yes"/>
    <n v="20"/>
    <n v="7"/>
    <n v="58"/>
  </r>
  <r>
    <n v="3515"/>
    <x v="130"/>
    <x v="2"/>
    <x v="284"/>
    <x v="1"/>
    <n v="10"/>
    <x v="0"/>
    <s v="No"/>
    <x v="1"/>
    <s v="Yes"/>
    <n v="20"/>
    <n v="10"/>
    <n v="20"/>
  </r>
  <r>
    <n v="3516"/>
    <x v="131"/>
    <x v="1"/>
    <x v="285"/>
    <x v="0"/>
    <n v="5"/>
    <x v="1"/>
    <s v="No"/>
    <x v="1"/>
    <s v="No"/>
    <n v="0"/>
    <n v="0"/>
    <n v="5"/>
  </r>
  <r>
    <n v="3517"/>
    <x v="181"/>
    <x v="0"/>
    <x v="286"/>
    <x v="1"/>
    <n v="15"/>
    <x v="0"/>
    <s v="Yes"/>
    <x v="0"/>
    <s v="Yes"/>
    <n v="20"/>
    <n v="20"/>
    <n v="45"/>
  </r>
  <r>
    <n v="3518"/>
    <x v="272"/>
    <x v="2"/>
    <x v="287"/>
    <x v="0"/>
    <n v="10"/>
    <x v="2"/>
    <s v="No"/>
    <x v="1"/>
    <s v="Yes"/>
    <n v="20"/>
    <n v="12"/>
    <n v="18"/>
  </r>
  <r>
    <n v="3519"/>
    <x v="273"/>
    <x v="1"/>
    <x v="288"/>
    <x v="1"/>
    <n v="5"/>
    <x v="0"/>
    <s v="No"/>
    <x v="1"/>
    <s v="No"/>
    <n v="0"/>
    <n v="2"/>
    <n v="3"/>
  </r>
  <r>
    <n v="3520"/>
    <x v="274"/>
    <x v="0"/>
    <x v="289"/>
    <x v="0"/>
    <n v="15"/>
    <x v="1"/>
    <s v="Yes"/>
    <x v="0"/>
    <s v="Yes"/>
    <n v="20"/>
    <n v="5"/>
    <n v="60"/>
  </r>
  <r>
    <n v="3521"/>
    <x v="275"/>
    <x v="2"/>
    <x v="290"/>
    <x v="1"/>
    <n v="10"/>
    <x v="0"/>
    <s v="No"/>
    <x v="1"/>
    <s v="Yes"/>
    <n v="20"/>
    <n v="10"/>
    <n v="20"/>
  </r>
  <r>
    <n v="3522"/>
    <x v="276"/>
    <x v="1"/>
    <x v="291"/>
    <x v="0"/>
    <n v="5"/>
    <x v="2"/>
    <s v="No"/>
    <x v="1"/>
    <s v="No"/>
    <n v="0"/>
    <n v="0"/>
    <n v="5"/>
  </r>
  <r>
    <n v="3523"/>
    <x v="277"/>
    <x v="0"/>
    <x v="292"/>
    <x v="1"/>
    <n v="15"/>
    <x v="0"/>
    <s v="Yes"/>
    <x v="0"/>
    <s v="Yes"/>
    <n v="20"/>
    <n v="3"/>
    <n v="62"/>
  </r>
  <r>
    <n v="3524"/>
    <x v="278"/>
    <x v="2"/>
    <x v="293"/>
    <x v="0"/>
    <n v="10"/>
    <x v="1"/>
    <s v="No"/>
    <x v="1"/>
    <s v="Yes"/>
    <n v="20"/>
    <n v="15"/>
    <n v="15"/>
  </r>
  <r>
    <n v="3525"/>
    <x v="279"/>
    <x v="1"/>
    <x v="294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8931B-7EA4-4B59-984A-92665A5EB11B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35:C3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>
      <items count="296">
        <item x="8"/>
        <item x="0"/>
        <item x="1"/>
        <item x="2"/>
        <item x="3"/>
        <item x="5"/>
        <item x="6"/>
        <item x="7"/>
        <item x="4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2"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DC8D4-5097-4CE4-8E60-3609DFC9371D}" name="tbl_easeasonpass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>
      <items count="296">
        <item x="8"/>
        <item x="0"/>
        <item x="1"/>
        <item x="2"/>
        <item x="3"/>
        <item x="5"/>
        <item x="6"/>
        <item x="7"/>
        <item x="4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3">
      <pivotArea dataOnly="0" labelOnly="1" outline="0" axis="axisValues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18EC1-A578-4376-850C-BD67010F0AE8}" name="tbl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5"/>
  </dataFields>
  <formats count="4">
    <format dxfId="7">
      <pivotArea outline="0" collapsedLevelsAreSubtotals="1" fieldPosition="0"/>
    </format>
    <format dxfId="6">
      <pivotArea collapsedLevelsAreSubtotals="1" fieldPosition="0">
        <references count="1">
          <reference field="4" count="1">
            <x v="0"/>
          </reference>
        </references>
      </pivotArea>
    </format>
    <format dxfId="5">
      <pivotArea collapsedLevelsAreSubtotals="1" fieldPosition="0">
        <references count="1">
          <reference field="4" count="1">
            <x v="1"/>
          </reference>
        </references>
      </pivotArea>
    </format>
    <format dxfId="4">
      <pivotArea grandRow="1" outline="0" collapsedLevelsAreSubtotals="1" fieldPosition="0"/>
    </format>
  </formats>
  <chartFormats count="3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0B9C5B1-2AC9-4399-828E-6FC607DDC55B}" sourceName="Subscription Type">
  <pivotTables>
    <pivotTable tabId="3" name="tbl_annual_total"/>
    <pivotTable tabId="3" name="tbl_easeasonpass_total"/>
    <pivotTable tabId="3" name="Tabela dinâmica1"/>
  </pivotTables>
  <data>
    <tabular pivotCacheId="187739164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297FB18-6A36-4DBB-9210-56E0EA4F4EB1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1">
  <autoFilter ref="A1:M296" xr:uid="{8679EFBF-10D0-4982-89F7-43F44ED52D80}"/>
  <tableColumns count="13">
    <tableColumn id="1" xr3:uid="{C4A90516-688A-46BF-9167-EA16C2A8A652}" name="Subscriber ID" dataDxfId="20"/>
    <tableColumn id="2" xr3:uid="{53DD39D0-2220-4121-9E9D-4EAA7E151C0F}" name="Name" dataDxfId="19"/>
    <tableColumn id="3" xr3:uid="{4F5FF271-4C57-4BE0-8F2C-F82C8551625C}" name="Plan" dataDxfId="18"/>
    <tableColumn id="4" xr3:uid="{8C17EB93-79B9-4E55-B8F7-BEB82F8253E9}" name="Start Date" dataDxfId="17"/>
    <tableColumn id="5" xr3:uid="{48CEDF9B-1689-482A-A828-5CCE7713264A}" name="Auto Renewal" dataDxfId="16"/>
    <tableColumn id="6" xr3:uid="{78B82374-9AA7-4E38-AE4F-78CDE6C83720}" name="Subscription Price" dataDxfId="15" dataCellStyle="Moeda"/>
    <tableColumn id="7" xr3:uid="{F2433F68-AF33-49D0-B1FB-19A396074EDE}" name="Subscription Type" dataDxfId="14"/>
    <tableColumn id="8" xr3:uid="{FD4D9C95-F6E5-4933-9068-A71FF7DF9343}" name="EA Play Season Pass" dataDxfId="13"/>
    <tableColumn id="13" xr3:uid="{978DD0D2-834E-4CE4-A39B-30976086932F}" name="EA Play Season Pass_x000a_Price" dataDxfId="12" dataCellStyle="Moeda"/>
    <tableColumn id="9" xr3:uid="{6E29F111-C395-4580-9DAD-3407D9E8B1A4}" name="Minecraft Season Pass" dataDxfId="11"/>
    <tableColumn id="10" xr3:uid="{EF544EAA-7F25-4FD5-A10E-8E62804DB9E3}" name="Minecraft Season Pass Price" dataDxfId="10" dataCellStyle="Moeda"/>
    <tableColumn id="11" xr3:uid="{7F6EB64A-1F07-4E48-9F0F-AC7D9DCD26F8}" name="Coupon Value" dataDxfId="9" dataCellStyle="Moeda"/>
    <tableColumn id="12" xr3:uid="{2B04ABC8-DE6F-426E-ADC0-D8AFC68CA58E}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5" sqref="E5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.5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 t="s">
        <v>313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L583"/>
  <sheetViews>
    <sheetView showGridLines="0" topLeftCell="A3" workbookViewId="0">
      <selection activeCell="E5" sqref="E5"/>
    </sheetView>
  </sheetViews>
  <sheetFormatPr defaultRowHeight="14.25"/>
  <cols>
    <col min="2" max="2" width="18" bestFit="1" customWidth="1"/>
    <col min="3" max="3" width="36.375" style="14" bestFit="1" customWidth="1"/>
    <col min="4" max="5" width="7.875" bestFit="1" customWidth="1"/>
    <col min="6" max="6" width="8.875" bestFit="1" customWidth="1"/>
    <col min="7" max="7" width="12" bestFit="1" customWidth="1"/>
    <col min="8" max="10" width="8.875" bestFit="1" customWidth="1"/>
    <col min="11" max="11" width="7.875" bestFit="1" customWidth="1"/>
    <col min="12" max="12" width="10.5" bestFit="1" customWidth="1"/>
    <col min="13" max="17" width="8.875" bestFit="1" customWidth="1"/>
    <col min="18" max="19" width="7.875" bestFit="1" customWidth="1"/>
    <col min="20" max="25" width="8.875" bestFit="1" customWidth="1"/>
    <col min="26" max="27" width="7.875" bestFit="1" customWidth="1"/>
    <col min="28" max="32" width="8.875" bestFit="1" customWidth="1"/>
    <col min="33" max="34" width="7.875" bestFit="1" customWidth="1"/>
    <col min="35" max="39" width="8.875" bestFit="1" customWidth="1"/>
    <col min="40" max="42" width="7.875" bestFit="1" customWidth="1"/>
    <col min="43" max="47" width="8.875" bestFit="1" customWidth="1"/>
    <col min="48" max="49" width="7.875" bestFit="1" customWidth="1"/>
    <col min="50" max="56" width="8.875" bestFit="1" customWidth="1"/>
    <col min="57" max="62" width="9.875" bestFit="1" customWidth="1"/>
    <col min="63" max="64" width="8.875" bestFit="1" customWidth="1"/>
    <col min="65" max="69" width="9.875" bestFit="1" customWidth="1"/>
    <col min="70" max="71" width="8.875" bestFit="1" customWidth="1"/>
    <col min="72" max="73" width="9.875" bestFit="1" customWidth="1"/>
    <col min="74" max="74" width="10.75" bestFit="1" customWidth="1"/>
  </cols>
  <sheetData>
    <row r="2" spans="2:3">
      <c r="C2"/>
    </row>
    <row r="3" spans="2:3">
      <c r="C3"/>
    </row>
    <row r="4" spans="2:3">
      <c r="C4"/>
    </row>
    <row r="5" spans="2:3">
      <c r="C5"/>
    </row>
    <row r="6" spans="2:3">
      <c r="C6"/>
    </row>
    <row r="7" spans="2:3">
      <c r="C7"/>
    </row>
    <row r="8" spans="2:3">
      <c r="C8"/>
    </row>
    <row r="9" spans="2:3">
      <c r="B9" s="12" t="s">
        <v>16</v>
      </c>
      <c r="C9" t="s">
        <v>24</v>
      </c>
    </row>
    <row r="10" spans="2:3">
      <c r="C10"/>
    </row>
    <row r="11" spans="2:3">
      <c r="B11" s="12" t="s">
        <v>314</v>
      </c>
      <c r="C11" t="s">
        <v>316</v>
      </c>
    </row>
    <row r="12" spans="2:3">
      <c r="B12" s="13" t="s">
        <v>23</v>
      </c>
      <c r="C12" s="17">
        <v>217</v>
      </c>
    </row>
    <row r="13" spans="2:3">
      <c r="B13" s="13" t="s">
        <v>19</v>
      </c>
      <c r="C13" s="17">
        <v>1537</v>
      </c>
    </row>
    <row r="14" spans="2:3">
      <c r="B14" s="13" t="s">
        <v>315</v>
      </c>
      <c r="C14" s="17">
        <v>1754</v>
      </c>
    </row>
    <row r="15" spans="2:3">
      <c r="C15"/>
    </row>
    <row r="16" spans="2:3">
      <c r="C16"/>
    </row>
    <row r="17" spans="2:12">
      <c r="C17"/>
    </row>
    <row r="18" spans="2:12">
      <c r="C18"/>
    </row>
    <row r="19" spans="2:12" ht="15">
      <c r="C19"/>
      <c r="L19" s="18">
        <f>GETPIVOTDATA("EA Play Season Pass
Price",$B$22)</f>
        <v>600</v>
      </c>
    </row>
    <row r="20" spans="2:12">
      <c r="B20" s="12" t="s">
        <v>16</v>
      </c>
      <c r="C20" t="s">
        <v>24</v>
      </c>
    </row>
    <row r="21" spans="2:12">
      <c r="C21"/>
    </row>
    <row r="22" spans="2:12">
      <c r="B22" s="12" t="s">
        <v>314</v>
      </c>
      <c r="C22" s="17" t="s">
        <v>318</v>
      </c>
    </row>
    <row r="23" spans="2:12">
      <c r="B23" s="13" t="s">
        <v>22</v>
      </c>
      <c r="C23" s="16">
        <v>0</v>
      </c>
    </row>
    <row r="24" spans="2:12">
      <c r="B24" s="13" t="s">
        <v>26</v>
      </c>
      <c r="C24" s="16">
        <v>0</v>
      </c>
    </row>
    <row r="25" spans="2:12">
      <c r="B25" s="13" t="s">
        <v>18</v>
      </c>
      <c r="C25" s="16">
        <v>600</v>
      </c>
    </row>
    <row r="26" spans="2:12">
      <c r="B26" s="13" t="s">
        <v>315</v>
      </c>
      <c r="C26" s="16">
        <v>600</v>
      </c>
    </row>
    <row r="27" spans="2:12">
      <c r="C27"/>
    </row>
    <row r="28" spans="2:12">
      <c r="C28"/>
    </row>
    <row r="29" spans="2:12">
      <c r="C29"/>
    </row>
    <row r="30" spans="2:12">
      <c r="C30"/>
    </row>
    <row r="31" spans="2:12">
      <c r="C31"/>
    </row>
    <row r="32" spans="2:12">
      <c r="C32"/>
    </row>
    <row r="33" spans="2:7">
      <c r="B33" s="12" t="s">
        <v>16</v>
      </c>
      <c r="C33" t="s">
        <v>24</v>
      </c>
    </row>
    <row r="34" spans="2:7">
      <c r="C34"/>
    </row>
    <row r="35" spans="2:7">
      <c r="B35" s="12" t="s">
        <v>314</v>
      </c>
      <c r="C35" s="17" t="s">
        <v>319</v>
      </c>
    </row>
    <row r="36" spans="2:7">
      <c r="B36" s="13" t="s">
        <v>22</v>
      </c>
      <c r="C36" s="16">
        <v>0</v>
      </c>
    </row>
    <row r="37" spans="2:7">
      <c r="B37" s="13" t="s">
        <v>26</v>
      </c>
      <c r="C37" s="16">
        <v>540</v>
      </c>
    </row>
    <row r="38" spans="2:7">
      <c r="B38" s="13" t="s">
        <v>18</v>
      </c>
      <c r="C38" s="16">
        <v>400</v>
      </c>
    </row>
    <row r="39" spans="2:7" ht="15">
      <c r="B39" s="13" t="s">
        <v>315</v>
      </c>
      <c r="C39" s="16">
        <v>940</v>
      </c>
      <c r="G39" s="18">
        <f>GETPIVOTDATA("Minecraft Season Pass Price",$B$35)</f>
        <v>940</v>
      </c>
    </row>
    <row r="40" spans="2:7">
      <c r="C40"/>
    </row>
    <row r="41" spans="2:7">
      <c r="C41"/>
    </row>
    <row r="42" spans="2:7">
      <c r="C42"/>
    </row>
    <row r="43" spans="2:7">
      <c r="C43"/>
    </row>
    <row r="44" spans="2:7">
      <c r="C44"/>
    </row>
    <row r="45" spans="2:7">
      <c r="C45"/>
    </row>
    <row r="46" spans="2:7">
      <c r="C46"/>
    </row>
    <row r="47" spans="2:7">
      <c r="C47"/>
    </row>
    <row r="48" spans="2:7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F232"/>
  <sheetViews>
    <sheetView showGridLines="0" showRowColHeaders="0" tabSelected="1" zoomScale="80" zoomScaleNormal="80" workbookViewId="0">
      <selection activeCell="AI31" sqref="AI31"/>
    </sheetView>
  </sheetViews>
  <sheetFormatPr defaultRowHeight="14.25"/>
  <cols>
    <col min="1" max="1" width="29.75" style="4" customWidth="1"/>
    <col min="2" max="2" width="3.625" customWidth="1"/>
    <col min="3" max="3" width="71.625" customWidth="1"/>
    <col min="12" max="12" width="6.625" customWidth="1"/>
    <col min="22" max="22" width="6.5" customWidth="1"/>
  </cols>
  <sheetData>
    <row r="1" spans="1:58" ht="22.5" customHeight="1"/>
    <row r="2" spans="1:58" ht="42" customHeight="1" thickBot="1">
      <c r="C2" s="20" t="s">
        <v>317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58" ht="29.25" customHeight="1" thickTop="1"/>
    <row r="4" spans="1:58" s="15" customFormat="1">
      <c r="A4" s="4"/>
      <c r="C4" s="21"/>
      <c r="D4" s="21"/>
      <c r="E4" s="21"/>
    </row>
    <row r="5" spans="1:58" s="15" customFormat="1">
      <c r="A5" s="4"/>
      <c r="C5" s="21"/>
      <c r="D5" s="21"/>
      <c r="E5" s="21"/>
    </row>
    <row r="6" spans="1:58" ht="9.75" customHeight="1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58" ht="33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spans="1:58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spans="1:58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spans="1:58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spans="1:58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spans="1:58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</row>
    <row r="13" spans="1:58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spans="1:58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8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 spans="1:58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2:58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2:58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2:58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2:58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2:58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2:58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2:58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2:58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2:58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2:58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2:58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2:58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2:58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2:58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2:58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2:58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2:58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2:58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</row>
    <row r="35" spans="2:58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</row>
    <row r="36" spans="2:58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</row>
    <row r="37" spans="2:58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</row>
    <row r="38" spans="2:58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2:58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2:58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  <row r="41" spans="2:5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</row>
    <row r="42" spans="2:58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</row>
    <row r="43" spans="2:5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 spans="2:58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 spans="2:58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</row>
    <row r="46" spans="2:58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</row>
    <row r="47" spans="2:58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</row>
    <row r="48" spans="2:58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</row>
    <row r="49" spans="2:58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</row>
    <row r="50" spans="2:58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 spans="2:58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</row>
    <row r="52" spans="2:58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</row>
    <row r="53" spans="2:58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</row>
    <row r="54" spans="2:58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</row>
    <row r="55" spans="2:58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</row>
    <row r="56" spans="2:58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</row>
    <row r="57" spans="2:58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 spans="2:58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 spans="2:58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 spans="2:58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</row>
    <row r="61" spans="2:58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 spans="2:58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</row>
    <row r="63" spans="2:58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</row>
    <row r="64" spans="2:58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</row>
    <row r="65" spans="2:58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</row>
    <row r="66" spans="2:58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</row>
    <row r="67" spans="2:58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</row>
    <row r="68" spans="2:58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</row>
    <row r="69" spans="2:58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</row>
    <row r="70" spans="2:58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</row>
    <row r="71" spans="2:58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</row>
    <row r="72" spans="2:58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</row>
    <row r="73" spans="2:58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</row>
    <row r="74" spans="2:58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</row>
    <row r="75" spans="2:58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2:58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</row>
    <row r="77" spans="2:58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 spans="2:58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</row>
    <row r="79" spans="2:58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</row>
    <row r="80" spans="2:58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 spans="2:58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</row>
    <row r="82" spans="2:58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</row>
    <row r="83" spans="2:58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</row>
    <row r="84" spans="2:58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</row>
    <row r="85" spans="2:58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</row>
    <row r="86" spans="2:58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</row>
    <row r="87" spans="2:58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</row>
    <row r="88" spans="2:58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</row>
    <row r="89" spans="2:58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</row>
    <row r="90" spans="2:58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</row>
    <row r="91" spans="2:58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</row>
    <row r="92" spans="2:58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</row>
    <row r="93" spans="2:58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</row>
    <row r="94" spans="2:58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</row>
    <row r="95" spans="2:58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</row>
    <row r="96" spans="2:58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</row>
    <row r="97" spans="2:58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</row>
    <row r="98" spans="2:58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</row>
    <row r="99" spans="2:58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</row>
    <row r="100" spans="2:58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</row>
    <row r="101" spans="2:58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</row>
    <row r="102" spans="2:58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</row>
    <row r="103" spans="2:58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</row>
    <row r="104" spans="2:58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 spans="2:58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 spans="2:58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</row>
    <row r="107" spans="2:58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</row>
    <row r="108" spans="2:58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</row>
    <row r="109" spans="2:58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</row>
    <row r="110" spans="2:58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</row>
    <row r="111" spans="2:58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</row>
    <row r="112" spans="2:58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</row>
    <row r="113" spans="2:58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</row>
    <row r="114" spans="2:58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</row>
    <row r="115" spans="2:58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</row>
    <row r="116" spans="2:58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</row>
    <row r="117" spans="2:58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 spans="2:58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</row>
    <row r="119" spans="2:58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</row>
    <row r="120" spans="2:58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</row>
    <row r="121" spans="2:58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</row>
    <row r="122" spans="2:58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</row>
    <row r="123" spans="2:58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</row>
    <row r="124" spans="2:58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</row>
    <row r="125" spans="2:58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</row>
    <row r="126" spans="2:58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</row>
    <row r="127" spans="2:58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</row>
    <row r="128" spans="2:58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</row>
    <row r="129" spans="2:58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</row>
    <row r="130" spans="2:58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</row>
    <row r="131" spans="2:58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 spans="2:58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</row>
    <row r="133" spans="2:58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</row>
    <row r="134" spans="2:58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</row>
    <row r="135" spans="2:58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</row>
    <row r="136" spans="2:58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</row>
    <row r="137" spans="2:58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</row>
    <row r="138" spans="2:58"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</row>
    <row r="139" spans="2:58"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</row>
    <row r="140" spans="2:58"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</row>
    <row r="141" spans="2:58"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</row>
    <row r="142" spans="2:58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</row>
    <row r="143" spans="2:58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</row>
    <row r="144" spans="2:58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</row>
    <row r="145" spans="2:58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</row>
    <row r="146" spans="2:58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</row>
    <row r="147" spans="2:58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</row>
    <row r="148" spans="2:58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</row>
    <row r="149" spans="2:58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</row>
    <row r="150" spans="2:58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</row>
    <row r="151" spans="2:58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</row>
    <row r="152" spans="2:58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</row>
    <row r="153" spans="2:58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</row>
    <row r="154" spans="2:58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</row>
    <row r="155" spans="2:58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</row>
    <row r="156" spans="2:58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</row>
    <row r="157" spans="2:58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</row>
    <row r="158" spans="2:58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</row>
    <row r="159" spans="2:58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</row>
    <row r="160" spans="2:58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</row>
    <row r="161" spans="2:58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</row>
    <row r="162" spans="2:58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</row>
    <row r="163" spans="2:58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</row>
    <row r="164" spans="2:58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</row>
    <row r="165" spans="2:58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</row>
    <row r="166" spans="2:58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</row>
    <row r="167" spans="2:58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</row>
    <row r="168" spans="2:58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</row>
    <row r="169" spans="2:58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</row>
    <row r="170" spans="2:58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</row>
    <row r="171" spans="2:58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</row>
    <row r="172" spans="2:58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</row>
    <row r="173" spans="2:58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</row>
    <row r="174" spans="2:58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</row>
    <row r="175" spans="2:58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</row>
    <row r="176" spans="2:58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</row>
    <row r="177" spans="2:58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</row>
    <row r="178" spans="2:58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</row>
    <row r="179" spans="2:58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</row>
    <row r="180" spans="2:58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</row>
    <row r="181" spans="2:58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</row>
    <row r="182" spans="2:58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</row>
    <row r="183" spans="2:58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</row>
    <row r="184" spans="2:58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</row>
    <row r="185" spans="2:58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</row>
    <row r="186" spans="2:58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</row>
    <row r="187" spans="2:58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</row>
    <row r="188" spans="2:58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</row>
    <row r="189" spans="2:58"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</row>
    <row r="190" spans="2:58"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</row>
    <row r="191" spans="2:58"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</row>
    <row r="192" spans="2:58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</row>
    <row r="193" spans="2:58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</row>
    <row r="194" spans="2:58"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</row>
    <row r="195" spans="2:58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</row>
    <row r="196" spans="2:58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</row>
    <row r="197" spans="2:58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</row>
    <row r="198" spans="2:58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</row>
    <row r="199" spans="2:58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</row>
    <row r="200" spans="2:58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</row>
    <row r="201" spans="2:58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</row>
    <row r="202" spans="2:58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</row>
    <row r="203" spans="2:58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</row>
    <row r="204" spans="2:58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</row>
    <row r="205" spans="2:58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</row>
    <row r="206" spans="2:58"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</row>
    <row r="207" spans="2:58"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</row>
    <row r="208" spans="2:58"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</row>
    <row r="209" spans="2:58"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</row>
    <row r="210" spans="2:58"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</row>
    <row r="211" spans="2:58"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</row>
    <row r="212" spans="2:58"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</row>
    <row r="213" spans="2:58"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</row>
    <row r="214" spans="2:58"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</row>
    <row r="215" spans="2:58"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</row>
    <row r="216" spans="2:58"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</row>
    <row r="217" spans="2:58"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</row>
    <row r="218" spans="2:58"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</row>
    <row r="219" spans="2:58"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</row>
    <row r="220" spans="2:58"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</row>
    <row r="221" spans="2:58"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</row>
    <row r="222" spans="2:58"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</row>
    <row r="223" spans="2:58"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</row>
    <row r="224" spans="2:58"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</row>
    <row r="225" spans="2:58"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</row>
    <row r="226" spans="2:58"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</row>
    <row r="227" spans="2:58"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</row>
    <row r="228" spans="2:58"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</row>
    <row r="229" spans="2:58"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</row>
    <row r="230" spans="2:58"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</row>
    <row r="231" spans="2:58"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</row>
    <row r="232" spans="2:58"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Microsoft</cp:lastModifiedBy>
  <dcterms:created xsi:type="dcterms:W3CDTF">2024-12-19T13:13:10Z</dcterms:created>
  <dcterms:modified xsi:type="dcterms:W3CDTF">2025-12-31T00:47:11Z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